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1"/>
  </bookViews>
  <sheets>
    <sheet sheetId="1" name="Start Here" state="visible" r:id="rId4"/>
    <sheet sheetId="2" name="Dashboard" state="visible" r:id="rId5"/>
    <sheet sheetId="3" name="M01 Database" state="visible" r:id="rId6"/>
    <sheet sheetId="4" name="M02 Platform" state="visible" r:id="rId7"/>
    <sheet sheetId="5" name="M03 Access" state="visible" r:id="rId8"/>
    <sheet sheetId="6" name="M04 Programme" state="visible" r:id="rId9"/>
    <sheet sheetId="7" name="M05 Reference" state="visible" r:id="rId10"/>
    <sheet sheetId="8" name="M06 Cohort" state="visible" r:id="rId11"/>
    <sheet sheetId="9" name="M07 Enrolment" state="visible" r:id="rId12"/>
    <sheet sheetId="10" name="M08 Assessment" state="visible" r:id="rId13"/>
    <sheet sheetId="11" name="M09 Care Plan" state="visible" r:id="rId14"/>
    <sheet sheetId="12" name="M10 Care Work" state="visible" r:id="rId15"/>
    <sheet sheetId="13" name="M11 Referral" state="visible" r:id="rId16"/>
    <sheet sheetId="14" name="M12 Medication" state="visible" r:id="rId17"/>
    <sheet sheetId="15" name="M13 Observation" state="visible" r:id="rId18"/>
    <sheet sheetId="16" name="M14 Care Gaps" state="visible" r:id="rId19"/>
    <sheet sheetId="17" name="M15 Engagement" state="visible" r:id="rId20"/>
    <sheet sheetId="18" name="M16 Outcomes" state="visible" r:id="rId21"/>
    <sheet sheetId="19" name="M17 Audit" state="visible" r:id="rId22"/>
    <sheet sheetId="20" name="M18 Integration" state="visible" r:id="rId23"/>
    <sheet sheetId="21" name="M19 AI" state="visible" r:id="rId24"/>
    <sheet sheetId="22" name="M20 Acceptance" state="visible" r:id="rId25"/>
    <sheet sheetId="23" name="Open Decisions" state="visible" r:id="rId26"/>
  </sheets>
  <definedNames>
    <definedName name="_xlnm.Print_Titles" localSheetId="2">'M01 Database'!$8:$8</definedName>
    <definedName name="_xlnm.Print_Titles" localSheetId="3">'M02 Platform'!$8:$8</definedName>
    <definedName name="_xlnm.Print_Titles" localSheetId="4">'M03 Access'!$8:$8</definedName>
    <definedName name="_xlnm.Print_Titles" localSheetId="5">'M04 Programme'!$8:$8</definedName>
    <definedName name="_xlnm.Print_Titles" localSheetId="6">'M05 Reference'!$8:$8</definedName>
    <definedName name="_xlnm.Print_Titles" localSheetId="7">'M06 Cohort'!$8:$8</definedName>
    <definedName name="_xlnm.Print_Titles" localSheetId="8">'M07 Enrolment'!$8:$8</definedName>
    <definedName name="_xlnm.Print_Titles" localSheetId="9">'M08 Assessment'!$8:$8</definedName>
    <definedName name="_xlnm.Print_Titles" localSheetId="10">'M09 Care Plan'!$8:$8</definedName>
    <definedName name="_xlnm.Print_Titles" localSheetId="11">'M10 Care Work'!$8:$8</definedName>
    <definedName name="_xlnm.Print_Titles" localSheetId="12">'M11 Referral'!$8:$8</definedName>
    <definedName name="_xlnm.Print_Titles" localSheetId="13">'M12 Medication'!$8:$8</definedName>
    <definedName name="_xlnm.Print_Titles" localSheetId="14">'M13 Observation'!$8:$8</definedName>
    <definedName name="_xlnm.Print_Titles" localSheetId="15">'M14 Care Gaps'!$8:$8</definedName>
    <definedName name="_xlnm.Print_Titles" localSheetId="16">'M15 Engagement'!$8:$8</definedName>
    <definedName name="_xlnm.Print_Titles" localSheetId="17">'M16 Outcomes'!$8:$8</definedName>
    <definedName name="_xlnm.Print_Titles" localSheetId="18">'M17 Audit'!$8:$8</definedName>
    <definedName name="_xlnm.Print_Titles" localSheetId="19">'M18 Integration'!$8:$8</definedName>
    <definedName name="_xlnm.Print_Titles" localSheetId="20">'M19 AI'!$8:$8</definedName>
    <definedName name="_xlnm.Print_Titles" localSheetId="21">'M20 Acceptance'!$8:$8</definedName>
  </definedNames>
  <calcPr calcId="171027" fullCalcOnLoad="1"/>
</workbook>
</file>

<file path=xl/sharedStrings.xml><?xml version="1.0" encoding="utf-8"?>
<sst xmlns="http://schemas.openxmlformats.org/spreadsheetml/2006/main" count="5961" uniqueCount="2018">
  <si>
    <t>ZCare Development Checklist</t>
  </si>
  <si>
    <t/>
  </si>
  <si>
    <t>Service: zimasa-zcare-service · Build order M01 → M20, one milestone (domain) at a time · Created 30 September 2026</t>
  </si>
  <si>
    <t>Open the Dashboard →</t>
  </si>
  <si>
    <t>How to use this workbook</t>
  </si>
  <si>
    <t>1. Find the milestone</t>
  </si>
  <si>
    <t>Open the Dashboard. The row marked NOW is the only milestone to work on. Every other sheet shows LOCKED until the one before it reaches 100%.</t>
  </si>
  <si>
    <t>2. Work the steps in order</t>
  </si>
  <si>
    <t>On that sheet, go top to bottom: 0 Gate in → 1 Data → 2 Rules → 3 API → 4 Events → 5 Screens → 6 Tests → 7 Docs → 8 Gate out. Server (BE) and screen (FE) rows of the same step may run side by side.</t>
  </si>
  <si>
    <t>3. Record progress</t>
  </si>
  <si>
    <t>Edit only the yellow columns: Status (drop-down), Owner, Date done and Notes / evidence (PR, test name, demo evidence file). Everything else is reference.</t>
  </si>
  <si>
    <t>4. N/A counts as done</t>
  </si>
  <si>
    <t>Use N/A only when a row truly does not apply, and write why in Notes.</t>
  </si>
  <si>
    <t>5. Finish a milestone</t>
  </si>
  <si>
    <t>At 100% the sheet shows Complete, the next sheet unlocks and the Dashboard moves NOW forward. The last Gate out row tags the release.</t>
  </si>
  <si>
    <t>6. Close decisions first</t>
  </si>
  <si>
    <t>The Open Decisions sheet lists conflicts and gaps found in the documents. Each Gate in row names the ones that must be Decided before that milestone starts.</t>
  </si>
  <si>
    <t>7. Add a task</t>
  </si>
  <si>
    <t>Type it in the first empty row below a sheet's list (Task column). Counts and progress include it automatically.</t>
  </si>
  <si>
    <t>Status values</t>
  </si>
  <si>
    <t>Not started</t>
  </si>
  <si>
    <t>Work has not begun.</t>
  </si>
  <si>
    <t>In progress</t>
  </si>
  <si>
    <t>Someone is working on it now.</t>
  </si>
  <si>
    <t>Blocked</t>
  </si>
  <si>
    <t>Cannot continue; say what blocks it in Notes (often an Open Decision).</t>
  </si>
  <si>
    <t>Done</t>
  </si>
  <si>
    <t>Finished and verified; evidence in Notes.</t>
  </si>
  <si>
    <t>N/A</t>
  </si>
  <si>
    <t>Does not apply; reason in Notes.</t>
  </si>
  <si>
    <t>Steps inside every milestone</t>
  </si>
  <si>
    <t>0 Gate in</t>
  </si>
  <si>
    <t>Previous milestone signed off; specs re-read; blocking decisions closed.</t>
  </si>
  <si>
    <t>1 Data</t>
  </si>
  <si>
    <t>JPA entities for the domain's own tables, repositories, specifications, database-error mapping.</t>
  </si>
  <si>
    <t>2 Rules</t>
  </si>
  <si>
    <t>Services: lifecycles, invariants and guardrails. All business logic lives here.</t>
  </si>
  <si>
    <t>3 API</t>
  </si>
  <si>
    <t>Controllers and DTOs for the endpoints in 04B, inside the standard envelope.</t>
  </si>
  <si>
    <t>4 Events</t>
  </si>
  <si>
    <t>Domain events written to the outbox; adapters behind ports.</t>
  </si>
  <si>
    <t>5 Screens</t>
  </si>
  <si>
    <t>Web-app screens (separate React project) for the same milestone.</t>
  </si>
  <si>
    <t>6 Tests</t>
  </si>
  <si>
    <t>Unit, integration (PostgreSQL as zc_app), security, consent and domain-specific tests.</t>
  </si>
  <si>
    <t>7 Docs</t>
  </si>
  <si>
    <t>OpenAPI/AsyncAPI, knowledge base, CHANGELOG, demo evidence.</t>
  </si>
  <si>
    <t>8 Gate out</t>
  </si>
  <si>
    <t>Done-when demonstrated, reviews signed, release tagged.</t>
  </si>
  <si>
    <t>Team codes</t>
  </si>
  <si>
    <t>Codes</t>
  </si>
  <si>
    <t>BE server · FE web app · DB database · QA testing · PO product owner / delivery lead · CLIN clinician (Aga Khan) · PRIV Privacy / DPO · SEC security · OPS operations</t>
  </si>
  <si>
    <t>Example of a filled-in row</t>
  </si>
  <si>
    <t>#  ·  Step  ·  Task</t>
  </si>
  <si>
    <t>Status · Owner · Date done · Notes / evidence</t>
  </si>
  <si>
    <t>M07-10 · 2 Rules</t>
  </si>
  <si>
    <t>ConsentGateService (one for everything)   →   Done · dev-a · 2026-11-18 · MR !42; ConsentGateServiceTest and ConsentGateIT green</t>
  </si>
  <si>
    <t>Source key (Ref column)</t>
  </si>
  <si>
    <t>RM</t>
  </si>
  <si>
    <t>ZCare Migration &amp; Development Roadmap v0.3 (docs/ZCare_Migration &amp; Development_Roadmap_Executive_v0.3.docx.pdf)</t>
  </si>
  <si>
    <t>PRD, ADD</t>
  </si>
  <si>
    <t>docs/supporting docs/04-zcare_care_disease_management_PRD.md and 04-ADD-001 addendum</t>
  </si>
  <si>
    <t>04A – 04F</t>
  </si>
  <si>
    <t>Domain model, API &amp; events, UX &amp; screens (S-xx, W-x, journeys), data model, AI governance, implementation guide (docs/supporting docs)</t>
  </si>
  <si>
    <t>AGENTS, GUIDE, DM</t>
  </si>
  <si>
    <t>AGENTS.md / AGENT_GUARDRAILS.md, Engineering Documentation Generation Guide, DOMAIN_MODEL.md</t>
  </si>
  <si>
    <t>UAT</t>
  </si>
  <si>
    <t>UAT-01..28 scripts (trial repo zimasa-zcare/docs/uat/uat-scripts.md)</t>
  </si>
  <si>
    <t>ADR-000n, mig-NN</t>
  </si>
  <si>
    <t>Service docs/adr and src/main/resources/db/changelog/migrations/20260929_NN_*.xml</t>
  </si>
  <si>
    <t>STD, LAY</t>
  </si>
  <si>
    <t>Versioning &amp; Coding Standards v1.0.0 and Project Layout &amp; Arrangement Rules v1.0 (docs/*.pdf)</t>
  </si>
  <si>
    <t>OD-nn</t>
  </si>
  <si>
    <t>Open Decisions sheet in this workbook</t>
  </si>
  <si>
    <t>Starting position (30 September 2026)</t>
  </si>
  <si>
    <t>M01</t>
  </si>
  <si>
    <t>Mostly delivered: 60 tables, roles, RLS and append-only protection; 24 schema tests green (7 unit, 17 integration). Still open: seed data, the 04D behavioural test suite, git and CI, the web-app project, confirming design differences (R2).</t>
  </si>
  <si>
    <t>M02 onwards</t>
  </si>
  <si>
    <t>Not started. The Spring Boot application, API and screens arrive from M02.</t>
  </si>
  <si>
    <t>Stack</t>
  </si>
  <si>
    <t>Java 21, Spring Boot 3.2.2, PostgreSQL 16, Liquibase 4.24, Maven 3.9.16 (ADR-0001). Web app: React 18 + TypeScript (separate project).</t>
  </si>
  <si>
    <t>ZCare Development Dashboard</t>
  </si>
  <si>
    <t>One milestone at a time, top to bottom. "Can start" turns Yes only when the milestone above is 100% complete; NOW marks the one to work on. Click a name to open its sheet.</t>
  </si>
  <si>
    <t>Now:</t>
  </si>
  <si>
    <t>Overall:</t>
  </si>
  <si>
    <t>Open decisions:</t>
  </si>
  <si>
    <t>Order</t>
  </si>
  <si>
    <t>ID</t>
  </si>
  <si>
    <t>Milestone</t>
  </si>
  <si>
    <t>Sprints</t>
  </si>
  <si>
    <t>Depends on</t>
  </si>
  <si>
    <t>Tasks</t>
  </si>
  <si>
    <t>Progress</t>
  </si>
  <si>
    <t>State</t>
  </si>
  <si>
    <t>Can start?</t>
  </si>
  <si>
    <t>Now</t>
  </si>
  <si>
    <t>Open decisions</t>
  </si>
  <si>
    <t>Release</t>
  </si>
  <si>
    <t>Done when</t>
  </si>
  <si>
    <t>Database Setup</t>
  </si>
  <si>
    <t>S1–S2</t>
  </si>
  <si>
    <t>—</t>
  </si>
  <si>
    <t>Yes</t>
  </si>
  <si>
    <t>v0.1.0</t>
  </si>
  <si>
    <t>The database matches the agreed design exactly, and one client cannot see another's data.</t>
  </si>
  <si>
    <t>M02</t>
  </si>
  <si>
    <t>Platform Foundations</t>
  </si>
  <si>
    <t>S3–S5</t>
  </si>
  <si>
    <t>v0.2.0</t>
  </si>
  <si>
    <t>A user signs in and sees only what their role allows.</t>
  </si>
  <si>
    <t>M03</t>
  </si>
  <si>
    <t>Tenant &amp; Access</t>
  </si>
  <si>
    <t>S6–S7</t>
  </si>
  <si>
    <t>v0.3.0</t>
  </si>
  <si>
    <t>A newly created user signs in with the correct access, and no password or secret is stored in the database or shown on screen.</t>
  </si>
  <si>
    <t>M04</t>
  </si>
  <si>
    <t>Programme Management</t>
  </si>
  <si>
    <t>S8–S10</t>
  </si>
  <si>
    <t>v0.4.0</t>
  </si>
  <si>
    <t>A programme cannot go live without clinician approval, and a published version cannot be edited.</t>
  </si>
  <si>
    <t>M05</t>
  </si>
  <si>
    <t>External References</t>
  </si>
  <si>
    <t>S11</t>
  </si>
  <si>
    <t>v0.5.0</t>
  </si>
  <si>
    <t>Every copied detail shows its source and date, and if ZPS is down users see a clear message, never a silent gap.</t>
  </si>
  <si>
    <t>M06</t>
  </si>
  <si>
    <t>Population &amp; Cohort</t>
  </si>
  <si>
    <t>S12–S13</t>
  </si>
  <si>
    <t>v0.6.0</t>
  </si>
  <si>
    <t>A member sent by the payer appears as ready to invite, and a message without a valid signature is rejected, logged and changes nothing.</t>
  </si>
  <si>
    <t>M07</t>
  </si>
  <si>
    <t>Enrolment, Consent &amp; Preferences</t>
  </si>
  <si>
    <t>S14–S16</t>
  </si>
  <si>
    <t>v0.7.0</t>
  </si>
  <si>
    <t>No one can be activated without valid consent, and withdrawn consent blocks every action and cancels follow-on work.</t>
  </si>
  <si>
    <t>M08</t>
  </si>
  <si>
    <t>Assessment &amp; Risk</t>
  </si>
  <si>
    <t>S17–S18</t>
  </si>
  <si>
    <t>v0.8.0</t>
  </si>
  <si>
    <t>The same answers always give the same score, and every override has a reason.</t>
  </si>
  <si>
    <t>M09</t>
  </si>
  <si>
    <t>Care Planning</t>
  </si>
  <si>
    <t>S19–S21</t>
  </si>
  <si>
    <t>v0.9.0</t>
  </si>
  <si>
    <t>Only a clinician activates a plan, authors cannot approve their own plans, and each member has one active plan.</t>
  </si>
  <si>
    <t>M10</t>
  </si>
  <si>
    <t>Care Work</t>
  </si>
  <si>
    <t>S22–S23</t>
  </si>
  <si>
    <t>v0.10.0</t>
  </si>
  <si>
    <t>Each care manager has a prioritised queue that loads in under half a second at pilot scale, and overdue work is flagged.</t>
  </si>
  <si>
    <t>M11</t>
  </si>
  <si>
    <t>Referrals &amp; Provider Participation</t>
  </si>
  <si>
    <t>S24–S25</t>
  </si>
  <si>
    <t>v0.11.0</t>
  </si>
  <si>
    <t>A referral closes only on provider or clinician confirmation; a member's own report never closes it.</t>
  </si>
  <si>
    <t>M12</t>
  </si>
  <si>
    <t>Medication Coordination</t>
  </si>
  <si>
    <t>S26</t>
  </si>
  <si>
    <t>v0.12.0</t>
  </si>
  <si>
    <t>A refill is "confirmed" only by a pharmacy or provider, and the database enforces it.</t>
  </si>
  <si>
    <t>M13</t>
  </si>
  <si>
    <t>Observation &amp; Monitoring</t>
  </si>
  <si>
    <t>S27–S28</t>
  </si>
  <si>
    <t>v0.13.0</t>
  </si>
  <si>
    <t>A reading over the limit always creates a clinician review.</t>
  </si>
  <si>
    <t>M14</t>
  </si>
  <si>
    <t>Care Gaps</t>
  </si>
  <si>
    <t>S29–S30</t>
  </si>
  <si>
    <t>v0.14.0</t>
  </si>
  <si>
    <t>Each gap shows why it was raised, and running the check twice never creates duplicates.</t>
  </si>
  <si>
    <t>M15</t>
  </si>
  <si>
    <t>Engagement &amp; Outreach</t>
  </si>
  <si>
    <t>S31–S34</t>
  </si>
  <si>
    <t>v0.15.0</t>
  </si>
  <si>
    <t>"STOP" halts all contact straight away, and a consent withdrawal always wins over a message about to be sent.</t>
  </si>
  <si>
    <t>M16</t>
  </si>
  <si>
    <t>Outcomes &amp; Proof</t>
  </si>
  <si>
    <t>S35–S36</t>
  </si>
  <si>
    <t>v0.16.0</t>
  </si>
  <si>
    <t>Employers never see individuals, and groups under 10 are withheld, never estimated.</t>
  </si>
  <si>
    <t>M17</t>
  </si>
  <si>
    <t>Audit &amp; Security</t>
  </si>
  <si>
    <t>S37–S38</t>
  </si>
  <si>
    <t>v0.17.0</t>
  </si>
  <si>
    <t>History cannot be edited or deleted, and no serious security issue is open.</t>
  </si>
  <si>
    <t>M18</t>
  </si>
  <si>
    <t>Integration Persistence</t>
  </si>
  <si>
    <t>S39–S41</t>
  </si>
  <si>
    <t>v0.18.0</t>
  </si>
  <si>
    <t>No failure is silent: every failed delivery appears as a task for an administrator.</t>
  </si>
  <si>
    <t>M19</t>
  </si>
  <si>
    <t>AI (switched off)</t>
  </si>
  <si>
    <t>S42</t>
  </si>
  <si>
    <t>v0.19.0</t>
  </si>
  <si>
    <t>Everything works with AI switched off, and checks prove no AI is called anywhere.</t>
  </si>
  <si>
    <t>M20</t>
  </si>
  <si>
    <t>Testing &amp; Acceptance</t>
  </si>
  <si>
    <t>S43–S48</t>
  </si>
  <si>
    <t>v1.0.0</t>
  </si>
  <si>
    <t>All tests pass, users sign off, no serious defects remain, and the go/no-go decision is recorded.</t>
  </si>
  <si>
    <t>Total</t>
  </si>
  <si>
    <t>M01 · Database Setup</t>
  </si>
  <si>
    <t>← Dashboard</t>
  </si>
  <si>
    <t>Goal</t>
  </si>
  <si>
    <t>Create the new database from the agreed design, with tenant separation built in from day one.</t>
  </si>
  <si>
    <t>Owns</t>
  </si>
  <si>
    <t>All 60 zc_* tables, shared functions, roles zc_app and zc_housekeeping, RLS (20 Liquibase files, 20260929_01–20)</t>
  </si>
  <si>
    <t>Plan</t>
  </si>
  <si>
    <t>Depends on — · Sprints S1–S2 · Screens FE-M1 web-app project · Release v0.1.0</t>
  </si>
  <si>
    <t>Done or N/A</t>
  </si>
  <si>
    <t>READY: first milestone, no prerequisite. Work the steps in order, 0 Gate in to 8 Gate out.</t>
  </si>
  <si>
    <t>#</t>
  </si>
  <si>
    <t>Step</t>
  </si>
  <si>
    <t>Task</t>
  </si>
  <si>
    <t>Detail / done when</t>
  </si>
  <si>
    <t>Team</t>
  </si>
  <si>
    <t>Ref</t>
  </si>
  <si>
    <t>Status</t>
  </si>
  <si>
    <t>Owner</t>
  </si>
  <si>
    <t>Date done</t>
  </si>
  <si>
    <t>Notes / evidence</t>
  </si>
  <si>
    <t>M01-01</t>
  </si>
  <si>
    <t>Agree db.sql V001–V005 as the baseline</t>
  </si>
  <si>
    <t>Baseline recorded, with the trial's real V003 replacing the design V003.</t>
  </si>
  <si>
    <t>DB, PO</t>
  </si>
  <si>
    <t>ADR-0004</t>
  </si>
  <si>
    <t>ADR-0004 accepted 29 Sep 2026</t>
  </si>
  <si>
    <t>M01-02</t>
  </si>
  <si>
    <t>Settle design differences with today's system</t>
  </si>
  <si>
    <t>Confirm reply-message categories, WhatsApp settings and other R2 items; record each outcome.</t>
  </si>
  <si>
    <t>RM R2; ADR-0004</t>
  </si>
  <si>
    <t>M01-03</t>
  </si>
  <si>
    <t>Changelog with one file per concern</t>
  </si>
  <si>
    <t>20 XML changesets carrying PostgreSQL SQL; master holds includes only; HALT preconditions and rollbacks everywhere.</t>
  </si>
  <si>
    <t>DB</t>
  </si>
  <si>
    <t>ADR-0003; LAY DB-02..10</t>
  </si>
  <si>
    <t>ChangelogConventionsTest 7/7 green (30 Sep)</t>
  </si>
  <si>
    <t>M01-04</t>
  </si>
  <si>
    <t>Shared functions and triggers</t>
  </si>
  <si>
    <t>zc_current_tenant, zc_touch_row, zc_forbid_change, zc_forbid_pinned_change, zc_forbid_published_version_change.</t>
  </si>
  <si>
    <t>mig-01</t>
  </si>
  <si>
    <t>M01-05</t>
  </si>
  <si>
    <t>Application and housekeeping roles</t>
  </si>
  <si>
    <t>zc_app owns nothing, cannot DELETE/TRUNCATE or bypass RLS; zc_housekeeping NOLOGIN.</t>
  </si>
  <si>
    <t>mig-02; 04D §12.4</t>
  </si>
  <si>
    <t>ApplicationRolePostureIT 6/6 green</t>
  </si>
  <si>
    <t>M01-06</t>
  </si>
  <si>
    <t>Row-level security on tenant tables</t>
  </si>
  <si>
    <t>Forced RLS policy on 56 tenant tables; exempt: zc_tenant, zc_tenant_whatsapp, zc_user, zc_security_event.</t>
  </si>
  <si>
    <t>docs/database/README.md; mig-20</t>
  </si>
  <si>
    <t>TenantIsolationIT 7/7 green</t>
  </si>
  <si>
    <t>M01-07</t>
  </si>
  <si>
    <t>Append-only tables</t>
  </si>
  <si>
    <t>9 tables protected by trigger and privilege (config history, responses, risk, plan review, assignment history, provider action, report snapshot, audit, security event).</t>
  </si>
  <si>
    <t>04D §11</t>
  </si>
  <si>
    <t>ApplicationRolePostureIT</t>
  </si>
  <si>
    <t>M01-08</t>
  </si>
  <si>
    <t>Seed data: sample programmes and test people</t>
  </si>
  <si>
    <t>Liquibase context "seed"/"test-data": diabetes and workplace-wellness programmes, synthetic members marked [SYNTHETIC]; never loaded for a real tenant.</t>
  </si>
  <si>
    <t>DB, CLIN</t>
  </si>
  <si>
    <t>RM BE-M1; 04F §19; LAY DB-16</t>
  </si>
  <si>
    <t>M01-09</t>
  </si>
  <si>
    <t>FE-M1: web-app project</t>
  </si>
  <si>
    <t>Separate React 18 + TypeScript + Vite + MUI + Tailwind project with Zimasa tokens; builds automatically; Keycloak client registered.</t>
  </si>
  <si>
    <t>FE</t>
  </si>
  <si>
    <t>RM FE-M1</t>
  </si>
  <si>
    <t>Outside this repository; status unknown</t>
  </si>
  <si>
    <t>M01-10</t>
  </si>
  <si>
    <t>Rebuild from scratch equals the agreed design</t>
  </si>
  <si>
    <t>Changelog and agreed-design SQL produce identical catalogues; re-running changes nothing.</t>
  </si>
  <si>
    <t>RM BE-M1</t>
  </si>
  <si>
    <t>AgreedDesignParityIT 1/1, ChangelogMigrationIT 3/3</t>
  </si>
  <si>
    <t>M01-11</t>
  </si>
  <si>
    <t>04D behavioural invariant suite</t>
  </si>
  <si>
    <t>Promote the 04D §25.1 assertions still missing: T1–T12, T14, P1–P4 (incl. P4 vocabulary sweep), G1–G5.</t>
  </si>
  <si>
    <t>DB, QA</t>
  </si>
  <si>
    <t>04D §25.1; 04F §18</t>
  </si>
  <si>
    <t>M01-12</t>
  </si>
  <si>
    <t>Database docs</t>
  </si>
  <si>
    <t>docs/database/README.md, migration-plan.md, guides/local-setup.md, compose file and setup scripts.</t>
  </si>
  <si>
    <t>LAY DOC</t>
  </si>
  <si>
    <t>Present in repo</t>
  </si>
  <si>
    <t>M01-13</t>
  </si>
  <si>
    <t>Put the service under git with CI</t>
  </si>
  <si>
    <t>Create the repository, protect main, name the canonical remote; CI runs ./mvnw verify on every commit.</t>
  </si>
  <si>
    <t>BE, OPS</t>
  </si>
  <si>
    <t>STD BRN-01, BRN-08; 04F §18; OD-06</t>
  </si>
  <si>
    <t>Directory is not a git repository yet</t>
  </si>
  <si>
    <t>M01-14</t>
  </si>
  <si>
    <t>Done-when demonstrated</t>
  </si>
  <si>
    <t>PO</t>
  </si>
  <si>
    <t>RM §3</t>
  </si>
  <si>
    <t>M01-15</t>
  </si>
  <si>
    <t>Release v0.1.0 tagged</t>
  </si>
  <si>
    <t>Annotated tag from a green pipeline; CHANGELOG created with the first section.</t>
  </si>
  <si>
    <t>BE</t>
  </si>
  <si>
    <t>STD REL-01, REL-03</t>
  </si>
  <si>
    <t>M02 · Platform Foundations</t>
  </si>
  <si>
    <t>Shared plumbing every feature relies on: sign-in, permissions, one response format, errors, idempotency, audit and outbox writers.</t>
  </si>
  <si>
    <t>Packages config, security, tenant, common (no tables of their own)</t>
  </si>
  <si>
    <t>Depends on M01 · Sprints S3–S5 · Screens FE-M2 sign-in, role menus, shared components · Release v0.2.0</t>
  </si>
  <si>
    <t>M02-01</t>
  </si>
  <si>
    <t>Confirm M01 is signed off</t>
  </si>
  <si>
    <t>Dashboard shows M01 at 100%.</t>
  </si>
  <si>
    <t>RM §2.2</t>
  </si>
  <si>
    <t>M02-02</t>
  </si>
  <si>
    <t>Close the open decisions needed here</t>
  </si>
  <si>
    <t>OD-01 to OD-08, OD-10, OD-11, OD-18 and OD-28 marked Decided, each with an ADR (start with ADR-0005 response style).</t>
  </si>
  <si>
    <t>PO, BE</t>
  </si>
  <si>
    <t>OD sheet</t>
  </si>
  <si>
    <t>M02-03</t>
  </si>
  <si>
    <t>Add dependencies with their first use</t>
  </si>
  <si>
    <t>Starters web, validation, data-jpa, security, oauth2-resource-server, actuator; MapStruct, springdoc; runtime postgresql and liquibase. Versions from the Boot BOM only.</t>
  </si>
  <si>
    <t>LAY BLD-03, BLD-07; STD DEP-01</t>
  </si>
  <si>
    <t>M02-04</t>
  </si>
  <si>
    <t>Application class and configuration</t>
  </si>
  <si>
    <t>ZimasaZcareApplication; application.yml (production-safe), -local, -test; every value from ${VAR}; .env.example complete.</t>
  </si>
  <si>
    <t>LAY CFG-01..06; STD RUN-03</t>
  </si>
  <si>
    <t>M02-05</t>
  </si>
  <si>
    <t>Datasource and JPA settings</t>
  </si>
  <si>
    <t>Connect as zc_app; migrations run by the owner account; ddl-auto=validate; open-in-view=false.</t>
  </si>
  <si>
    <t>04D §12.4; STD SCH-07, JPA-04</t>
  </si>
  <si>
    <t>M02-06</t>
  </si>
  <si>
    <t>Tenant context per transaction</t>
  </si>
  <si>
    <t>Tenant from the token; set_config('zcare.tenant_id', id, true) at transaction start; cleared in finally; copied to async threads.</t>
  </si>
  <si>
    <t>tenant/package-info; 04F §9; STD RES-10</t>
  </si>
  <si>
    <t>M02-07</t>
  </si>
  <si>
    <t>Audit writer</t>
  </si>
  <si>
    <t>Every material write adds a zc_domain_audit row; its operation equals the envelope auditTrail.operation.</t>
  </si>
  <si>
    <t>04A INV-7; 04B §5; OD-08</t>
  </si>
  <si>
    <t>M02-08</t>
  </si>
  <si>
    <t>Security-event writer</t>
  </si>
  <si>
    <t>Denials, tenant violations and invalid webhook signatures written to zc_security_event.</t>
  </si>
  <si>
    <t>M02-09</t>
  </si>
  <si>
    <t>Idempotency middleware</t>
  </si>
  <si>
    <t>Idempotency-Key on every mutation; (key, user, route) kept at least 24 h; replay returns the same envelope; different body gives IDEMPOTENCY_KEY_CONFLICT.</t>
  </si>
  <si>
    <t>04B §7; 04D §18</t>
  </si>
  <si>
    <t>M02-10</t>
  </si>
  <si>
    <t>Transactional outbox writer</t>
  </si>
  <si>
    <t>Domain events written in the same transaction as the aggregate; one aggregate per transaction.</t>
  </si>
  <si>
    <t>04A §15; 04D §17</t>
  </si>
  <si>
    <t>M02-11</t>
  </si>
  <si>
    <t>Consent-gate extension point</t>
  </si>
  <si>
    <t>One ConsentGate interface called at command, dispatch and query; implementation lands in M07.</t>
  </si>
  <si>
    <t>04D §9.4; RM BE-M7</t>
  </si>
  <si>
    <t>M02-12</t>
  </si>
  <si>
    <t>Response envelope</t>
  </si>
  <si>
    <t>ENG-STD-SB-001 8 fields; data never a bare array; 1-based PagedResponse; nextActions allow-list.</t>
  </si>
  <si>
    <t>04B §5, §8; OD-01</t>
  </si>
  <si>
    <t>M02-13</t>
  </si>
  <si>
    <t>Global exception handler and code registry</t>
  </si>
  <si>
    <t>Business exceptions return HTTP 200 status=exception with ApiException; ZCareExceptionCodes registry (never rename a code); 401/403 only from filters.</t>
  </si>
  <si>
    <t>04B §6</t>
  </si>
  <si>
    <t>M02-14</t>
  </si>
  <si>
    <t>Validation errors per field</t>
  </si>
  <si>
    <t>One VALIDATION_FIELD_INVALID/REQUIRED entry per failed field; never 422.</t>
  </si>
  <si>
    <t>M02-15</t>
  </si>
  <si>
    <t>Security filter chain</t>
  </si>
  <si>
    <t>OAuth2 resource server with Keycloak; full JWT validation (exp, iss, aud); 8 roles mapped; unregistered route returns 403 (fail closed).</t>
  </si>
  <si>
    <t>BE, SEC</t>
  </si>
  <si>
    <t>RM BE-M2; STD SEC-01, SEC-02</t>
  </si>
  <si>
    <t>M02-16</t>
  </si>
  <si>
    <t>Correlation and base path</t>
  </si>
  <si>
    <t>X-Correlation-Id in, out, in MDC and on events; versioned base path defined once.</t>
  </si>
  <si>
    <t>04B §4, §9; OD-03</t>
  </si>
  <si>
    <t>M02-17</t>
  </si>
  <si>
    <t>OpenAPI from code</t>
  </si>
  <si>
    <t>springdoc; info.version from the build; export compared with openapi/zcare-openapi.yaml in CI.</t>
  </si>
  <si>
    <t>STD API-06; 04F §9; OD-18</t>
  </si>
  <si>
    <t>M02-18</t>
  </si>
  <si>
    <t>Operability basics</t>
  </si>
  <si>
    <t>Liveness and readiness probes, graceful shutdown, structured JSON logs with an allow-list (no PHI).</t>
  </si>
  <si>
    <t>STD RUN-05, RUN-06, LOG-02, LOG-04; 04D §13</t>
  </si>
  <si>
    <t>M02-19</t>
  </si>
  <si>
    <t>Event envelope</t>
  </si>
  <si>
    <t>event_id, tenant_id, correlation_id, occurred_at, aggregate_id, payload, data_classification.</t>
  </si>
  <si>
    <t>04B §12; OD-28</t>
  </si>
  <si>
    <t>M02-20</t>
  </si>
  <si>
    <t>FE-M2: sign-in and role menus</t>
  </si>
  <si>
    <t>oidc-client-ts sign-in/out; drawer groups gated by the 7 staff roles; routes 403 independently of menus.</t>
  </si>
  <si>
    <t>RM FE-M2; 04C §3</t>
  </si>
  <si>
    <t>M02-21</t>
  </si>
  <si>
    <t>FE-M2: shared building blocks</t>
  </si>
  <si>
    <t>StatusBadge, DataTable (1-based adapter), ConsentGate, ProvenanceBadge, ReasonDialog, ApprovalHistory, EmptyState; API types generated from OpenAPI.</t>
  </si>
  <si>
    <t>04C §17.3; 04F §11</t>
  </si>
  <si>
    <t>M02-22</t>
  </si>
  <si>
    <t>Architecture tests (ArchUnit)</t>
  </si>
  <si>
    <t>controllers → services → repositories only; no cross-domain repositories or entities; infrastructure never depends on domains; no field injection or System.out; @PreAuthorize on every endpoint.</t>
  </si>
  <si>
    <t>ADR-0002 r6; STD QA-03</t>
  </si>
  <si>
    <t>M02-23</t>
  </si>
  <si>
    <t>Contract tests</t>
  </si>
  <si>
    <t>Envelope on every route; idempotency replay and conflict; per-field validation entries.</t>
  </si>
  <si>
    <t>BE, QA</t>
  </si>
  <si>
    <t>04F §18</t>
  </si>
  <si>
    <t>M02-24</t>
  </si>
  <si>
    <t>Security tests</t>
  </si>
  <si>
    <t>Unknown route 403; cross-tenant attempt refused and logged; expired token 401.</t>
  </si>
  <si>
    <t>RM BE-M2; STD QA-04</t>
  </si>
  <si>
    <t>M02-25</t>
  </si>
  <si>
    <t>No-PHI-in-logs test</t>
  </si>
  <si>
    <t>A leak test fails the build if a log line carries a non-allow-listed field.</t>
  </si>
  <si>
    <t>04F §21</t>
  </si>
  <si>
    <t>M02-26</t>
  </si>
  <si>
    <t>FE accessibility checks</t>
  </si>
  <si>
    <t>Vitest and jest-axe on every building block.</t>
  </si>
  <si>
    <t>RM FE-M2</t>
  </si>
  <si>
    <t>M02-27</t>
  </si>
  <si>
    <t>Architecture decisions recorded</t>
  </si>
  <si>
    <t>ADRs for response style, tenant source, base path, ports home, cross-cutting writers, Boot version.</t>
  </si>
  <si>
    <t>LAY DOC-06; OD sheet</t>
  </si>
  <si>
    <t>M02-28</t>
  </si>
  <si>
    <t>SECURITY_MODEL.md</t>
  </si>
  <si>
    <t>Auth, roles, RLS, tenant context and webhook signing described.</t>
  </si>
  <si>
    <t>04F §20; 04A §18</t>
  </si>
  <si>
    <t>M02-29</t>
  </si>
  <si>
    <t>CI pipeline and container image</t>
  </si>
  <si>
    <t>Pipeline: format, enforcer, tests, secret scan, image; Dockerfile packages the tested jar; compose adds the service.</t>
  </si>
  <si>
    <t>STD C.5, C.6; 04F §24</t>
  </si>
  <si>
    <t>M02-30</t>
  </si>
  <si>
    <t>CHANGELOG and README release section</t>
  </si>
  <si>
    <t>CHANGELOG [Unreleased]; README explains release steps.</t>
  </si>
  <si>
    <t>STD REL-03, VER-07</t>
  </si>
  <si>
    <t>M02-31</t>
  </si>
  <si>
    <t>A user signs in and sees only what their role allows; each role sees the right menu.</t>
  </si>
  <si>
    <t>M02-32</t>
  </si>
  <si>
    <t>Reviews signed off</t>
  </si>
  <si>
    <t>Code review; security review of the filter chain and tenant context.</t>
  </si>
  <si>
    <t>SEC, PO</t>
  </si>
  <si>
    <t>04F §27</t>
  </si>
  <si>
    <t>M02-33</t>
  </si>
  <si>
    <t>Release v0.2.0 tagged</t>
  </si>
  <si>
    <t>Annotated tag from a green pipeline; Dashboard shows 100%.</t>
  </si>
  <si>
    <t>STD REL-01, REL-04</t>
  </si>
  <si>
    <t>M03 · Tenant &amp; Access</t>
  </si>
  <si>
    <t>Administrators manage client organisations, staff accounts, roles, settings and each client's WhatsApp number.</t>
  </si>
  <si>
    <t>domains.access: zc_tenant, zc_organisation, zc_role_assignment, zc_break_glass_grant, zc_config_history, zc_user, zc_tenant_whatsapp (mig-03)</t>
  </si>
  <si>
    <t>Depends on M02 · Sprints S6–S7 · Screens S-18 · Release v0.3.0</t>
  </si>
  <si>
    <t>M03-01</t>
  </si>
  <si>
    <t>Confirm M02 is signed off</t>
  </si>
  <si>
    <t>Dashboard shows M02 at 100% and its Gate out rows are Done. Do not start this sheet before that.</t>
  </si>
  <si>
    <t>M03-02</t>
  </si>
  <si>
    <t>Re-read this domain's specs</t>
  </si>
  <si>
    <t>PRD §6.9, §8.15, §9.2; 04A §17–18; 04B §2; 04C S-18, §9, §12; ADD A9; mig-03.</t>
  </si>
  <si>
    <t>BE, FE</t>
  </si>
  <si>
    <t>AGENTS "Source precedence"</t>
  </si>
  <si>
    <t>M03-03</t>
  </si>
  <si>
    <t>Open Decisions sheet: OD-12, OD-13, OD-14, OD-16 marked Decided, with the ADR or doc that records each.</t>
  </si>
  <si>
    <t>M03-04</t>
  </si>
  <si>
    <t>Map owned tables to JPA entities</t>
  </si>
  <si>
    <t>zc_tenant, zc_organisation, zc_role_assignment, zc_break_glass_grant, zc_config_history, zc_user, zc_tenant_whatsapp. Identity ids never supplied; @Version on row_version; tenant_id and created_* not updatable; entities stay inside the service layer.</t>
  </si>
  <si>
    <t>mig-03; 04D §11; ADR-0002</t>
  </si>
  <si>
    <t>M03-05</t>
  </si>
  <si>
    <t>Map append-only tables as insert-only</t>
  </si>
  <si>
    <t>zc_config_history: INSERT and SELECT only; a change is a new row (trigger and privilege already enforce it).</t>
  </si>
  <si>
    <t>04D §11; mig-20</t>
  </si>
  <si>
    <t>M03-06</t>
  </si>
  <si>
    <t>Repositories and Specifications</t>
  </si>
  <si>
    <t>Spring Data repositories and &lt;X&gt;Specifications for search; every query runs inside the tenant context (RLS); lists are paged thin projections.</t>
  </si>
  <si>
    <t>04F §8; STD JPA-11</t>
  </si>
  <si>
    <t>M03-07</t>
  </si>
  <si>
    <t>Translate constraint violations to exception codes</t>
  </si>
  <si>
    <t>uq_zc_role_assignment_no_overlap → overlapping grant (WARNING); append-only config history → ZCARE_CONFIG_HISTORY_IMMUTABLE.</t>
  </si>
  <si>
    <t>04D §9.3; 04B §6</t>
  </si>
  <si>
    <t>M03-08</t>
  </si>
  <si>
    <t>Migration: remove secrets from the database</t>
  </si>
  <si>
    <t>New changeset: zc_user without password_hash; zc_tenant_whatsapp stores a secret reference, not the access token. Update the agreed-design fixture.</t>
  </si>
  <si>
    <t>RM §1.1; ADR-0004; OD-12, OD-13</t>
  </si>
  <si>
    <t>M03-09</t>
  </si>
  <si>
    <t>Staff accounts in Keycloak</t>
  </si>
  <si>
    <t>Create users through the Keycloak Admin API; keep only a local copy of role and organisation; provider users carry the org claim.</t>
  </si>
  <si>
    <t>RM BE-M3; ADD A9</t>
  </si>
  <si>
    <t>M03-10</t>
  </si>
  <si>
    <t>Organisations</t>
  </si>
  <si>
    <t>Create, suspend, inactivate; code unique per tenant.</t>
  </si>
  <si>
    <t>ZCR-ADM-001; mig-03</t>
  </si>
  <si>
    <t>M03-11</t>
  </si>
  <si>
    <t>Role grants</t>
  </si>
  <si>
    <t>Time-bound grants; no overlapping grant; revocation needs who, when and reason.</t>
  </si>
  <si>
    <t>mig-03 ck_…_revocation</t>
  </si>
  <si>
    <t>M03-12</t>
  </si>
  <si>
    <t>Break-glass access</t>
  </si>
  <si>
    <t>Reason and typed confirmation required; expires by itself; every use written as break_glass_use.</t>
  </si>
  <si>
    <t>PRD §9.2; 04C §8, §12</t>
  </si>
  <si>
    <t>M03-13</t>
  </si>
  <si>
    <t>Admin is not health access</t>
  </si>
  <si>
    <t>platform_admin without an active break-glass grant gets 403 plus a security event on any health route.</t>
  </si>
  <si>
    <t>ZCR-ADM-003; UC-ZC-010 D1</t>
  </si>
  <si>
    <t>M03-14</t>
  </si>
  <si>
    <t>Configuration history and feature flags</t>
  </si>
  <si>
    <t>Versioned, approved, effective-dated settings; no retrospective edit; feature flags stored as scope "features".</t>
  </si>
  <si>
    <t>ZCR-ADM-002, ADM-004; 04F §13</t>
  </si>
  <si>
    <t>M03-15</t>
  </si>
  <si>
    <t>WhatsApp number per tenant</t>
  </si>
  <si>
    <t>Phone number id per tenant; token held only in the server secret store; never returned by the API.</t>
  </si>
  <si>
    <t>RM BE-M3</t>
  </si>
  <si>
    <t>M03-16</t>
  </si>
  <si>
    <t>Tenant provisioning path</t>
  </si>
  <si>
    <t>Implement the decided route for creating tenants (zc_app has SELECT only on zc_tenant).</t>
  </si>
  <si>
    <t>OD-14</t>
  </si>
  <si>
    <t>M03-17</t>
  </si>
  <si>
    <t>Administration endpoints</t>
  </si>
  <si>
    <t>Organisations, users, role grants, break-glass grants, configuration, WhatsApp set-up; add them to 04B and OpenAPI first.</t>
  </si>
  <si>
    <t>OD-16; 04B §4</t>
  </si>
  <si>
    <t>M03-18</t>
  </si>
  <si>
    <t>Audit every admin change</t>
  </si>
  <si>
    <t>Each change writes zc_domain_audit with a reason; break-glass use also writes zc_security_event.</t>
  </si>
  <si>
    <t>PRD §8.15; 04D §11</t>
  </si>
  <si>
    <t>M03-19</t>
  </si>
  <si>
    <t>S-18 Administration</t>
  </si>
  <si>
    <t>Users, roles, organisations, settings, WhatsApp set-up; reason and typed confirmation for break-glass.</t>
  </si>
  <si>
    <t>04C S-18, §8</t>
  </si>
  <si>
    <t>M03-20</t>
  </si>
  <si>
    <t>Break-glass banner</t>
  </si>
  <si>
    <t>Persistent banner naming who authorised access and when it expires.</t>
  </si>
  <si>
    <t>04C §12</t>
  </si>
  <si>
    <t>M03-21</t>
  </si>
  <si>
    <t>Unit tests for every rule in step 2</t>
  </si>
  <si>
    <t>Each state transition and invariant has a behaviour-named test (JUnit 5, AssertJ, Mockito).</t>
  </si>
  <si>
    <t>04F §18; STD QA-01, QA-06</t>
  </si>
  <si>
    <t>M03-22</t>
  </si>
  <si>
    <t>Integration tests on PostgreSQL 16 as zc_app</t>
  </si>
  <si>
    <t>Testcontainers; repositories, constraint-to-code mapping and tenant isolation proven through this domain's tables.</t>
  </si>
  <si>
    <t>04F §18; STD QA-02</t>
  </si>
  <si>
    <t>M03-23</t>
  </si>
  <si>
    <t>Security matrix for each endpoint</t>
  </si>
  <si>
    <t>401 without or with an expired token; 403 for a wrong role; another tenant's record refused and a security event written.</t>
  </si>
  <si>
    <t>04F §20; STD QA-04</t>
  </si>
  <si>
    <t>M03-24</t>
  </si>
  <si>
    <t>New user signs in with correct access</t>
  </si>
  <si>
    <t>End-to-end with Keycloak (Testcontainers or test realm): created user gets exactly the granted menus and routes.</t>
  </si>
  <si>
    <t>QA</t>
  </si>
  <si>
    <t>RM FE-M3</t>
  </si>
  <si>
    <t>M03-25</t>
  </si>
  <si>
    <t>No secret stored or shown</t>
  </si>
  <si>
    <t>Sweep test: no secret column values in the database; API responses never contain tokens.</t>
  </si>
  <si>
    <t>M03-26</t>
  </si>
  <si>
    <t>Contracts updated in the same PR</t>
  </si>
  <si>
    <t>openapi/zcare-openapi.yaml and asyncapi/zcare-asyncapi.yaml match the code; each new endpoint scores at least 18/22 on the ENG-STD-SB-001 rubric (score in the PR).</t>
  </si>
  <si>
    <t>04F §9, §30; 04B §1</t>
  </si>
  <si>
    <t>M03-27</t>
  </si>
  <si>
    <t>Knowledge base updated</t>
  </si>
  <si>
    <t>package-info (owned tables), docs/database/migration-plan.md, docs/architecture/overview.md, traceability rows for ZCR-ADM-001..004, ZCR-SEC-001/002.</t>
  </si>
  <si>
    <t>ADR-0002 r3; GUIDE §17; 04F §31</t>
  </si>
  <si>
    <t>M03-28</t>
  </si>
  <si>
    <t>CHANGELOG [Unreleased] lines written</t>
  </si>
  <si>
    <t>One line per change for readers outside the team, including Database and Configuration sections.</t>
  </si>
  <si>
    <t>STD REL-03</t>
  </si>
  <si>
    <t>M03-29</t>
  </si>
  <si>
    <t>Demo journey evidence committed</t>
  </si>
  <si>
    <t>Evidence of Journey 17 (administer roles and access) under docs/demo/evidence/ with screenshots.</t>
  </si>
  <si>
    <t>QA, FE</t>
  </si>
  <si>
    <t>AGENTS "Journey evidence"</t>
  </si>
  <si>
    <t>M03-30</t>
  </si>
  <si>
    <t>A newly created user signs in with the correct access, and no password or secret is stored in the database or shown on screen. Shown end to end (server and screens) at the sprint demo.</t>
  </si>
  <si>
    <t>M03-31</t>
  </si>
  <si>
    <t>Code review with a named reviewer for security-sensitive code; security review of break-glass and secrets handling.</t>
  </si>
  <si>
    <t>04F §27, §30</t>
  </si>
  <si>
    <t>M03-32</t>
  </si>
  <si>
    <t>Release v0.3.0 tagged</t>
  </si>
  <si>
    <t>Annotated tag v0.3.0 from a green pipeline; CHANGELOG section dated; next SNAPSHOT set. Dashboard now shows 100%.</t>
  </si>
  <si>
    <t>STD REL-01, REL-04, REL-07</t>
  </si>
  <si>
    <t>M04 · Programme Management</t>
  </si>
  <si>
    <t>Programme teams design care programmes, and a clinician approves them before use.</t>
  </si>
  <si>
    <t>domains.programme: zc_programme, zc_programme_version, zc_assessment_template(_version), zc_gap_rule, zc_task_template, zc_referral_type, zc_observation_type, zc_goal_type, zc_outcome_definition (mig-05)</t>
  </si>
  <si>
    <t>Depends on M03 · Sprints S8–S10 · Screens S-07 · Release v0.4.0</t>
  </si>
  <si>
    <t>M04-01</t>
  </si>
  <si>
    <t>Confirm M03 is signed off</t>
  </si>
  <si>
    <t>Dashboard shows M03 at 100% and its Gate out rows are Done. Do not start this sheet before that.</t>
  </si>
  <si>
    <t>M04-02</t>
  </si>
  <si>
    <t>PRD §8.2, §9.10; 04A §7.1; 04B §10 (publish); 04C S-07; 04D §2.3, §20; ADD Part E; mig-05.</t>
  </si>
  <si>
    <t>M04-03</t>
  </si>
  <si>
    <t>Open Decisions sheet: OD-15, OD-16, OD-17 marked Decided, with the ADR or doc that records each.</t>
  </si>
  <si>
    <t>M04-04</t>
  </si>
  <si>
    <t>zc_programme, zc_programme_version, zc_assessment_template(_version), zc_gap_rule, zc_task_template, zc_referral_type, zc_observation_type, zc_goal_type, zc_outcome_definition. Identity ids never supplied; @Version on row_version; tenant_id and created_* not updatable; entities stay inside the service layer.</t>
  </si>
  <si>
    <t>mig-05; 04D §11; ADR-0002</t>
  </si>
  <si>
    <t>M04-05</t>
  </si>
  <si>
    <t>M04-06</t>
  </si>
  <si>
    <t>trg_zc_programme_version_immutable → ZCARE_PROGRAMME_VERSION_IMMUTABLE; ck_…_publication → ZCARE_CLINICAL_APPROVAL_REQUIRED.</t>
  </si>
  <si>
    <t>M04-07</t>
  </si>
  <si>
    <t>Programme and version lifecycles</t>
  </si>
  <si>
    <t>Programme draft → active → suspended → retired; version draft → pending_approval → published → retired.</t>
  </si>
  <si>
    <t>mig-05; DM</t>
  </si>
  <si>
    <t>M04-08</t>
  </si>
  <si>
    <t>Clinical approval gate</t>
  </si>
  <si>
    <t>Publish only after a clinician records approval; otherwise ZCARE_CLINICAL_APPROVAL_REQUIRED (HARD_STOP).</t>
  </si>
  <si>
    <t>ZCR-PRG-004; ADD Part E</t>
  </si>
  <si>
    <t>M04-09</t>
  </si>
  <si>
    <t>Published versions are frozen</t>
  </si>
  <si>
    <t>A material change creates a new version; the trigger rejects edits and the service refuses them first.</t>
  </si>
  <si>
    <t>ZCR-PRG-005/006; 04A INV-3</t>
  </si>
  <si>
    <t>M04-10</t>
  </si>
  <si>
    <t>Freeze child configuration too</t>
  </si>
  <si>
    <t>Templates, gap rules, task/observation/goal types and outcome definitions of a published version are refused in code (DB does not protect them).</t>
  </si>
  <si>
    <t>04D §2.3, §20</t>
  </si>
  <si>
    <t>M04-11</t>
  </si>
  <si>
    <t>Suspend and retire safely</t>
  </si>
  <si>
    <t>Suspend new enrolments; retire with typed confirmation; never delete participation history.</t>
  </si>
  <si>
    <t>ZCR-PRG-007; 04C §8</t>
  </si>
  <si>
    <t>M04-12</t>
  </si>
  <si>
    <t>Vocabulary as data</t>
  </si>
  <si>
    <t>Care models, codes and types seeded as rows, never as CHECK constraints; care_model free text until OD-15 closes.</t>
  </si>
  <si>
    <t>04D §2.3 (P4); OD-15</t>
  </si>
  <si>
    <t>M04-13</t>
  </si>
  <si>
    <t>Synthetic diabetes programme v1</t>
  </si>
  <si>
    <t>HbA1c, fasting glucose, BP types; gap rules, task templates, questionnaire and outcomes marked [SYNTHETIC] until the Aga Khan package arrives.</t>
  </si>
  <si>
    <t>BE, CLIN</t>
  </si>
  <si>
    <t>RM BE-M4; RM R6</t>
  </si>
  <si>
    <t>M04-14</t>
  </si>
  <si>
    <t>POST /programmes/{id}/publish</t>
  </si>
  <si>
    <t>Programme admin; refused without recorded clinical approval.</t>
  </si>
  <si>
    <t>04B §10</t>
  </si>
  <si>
    <t>M04-15</t>
  </si>
  <si>
    <t>POST /programmes/{id}:record-clinical-approval</t>
  </si>
  <si>
    <t>Clinician only (403 for others); records approver and time.</t>
  </si>
  <si>
    <t>ADD Part E; US-CLN-06</t>
  </si>
  <si>
    <t>M04-16</t>
  </si>
  <si>
    <t>Draft authoring endpoints</t>
  </si>
  <si>
    <t>Create/update programme, version, templates, rules and types while in draft; define in 04B/OpenAPI first.</t>
  </si>
  <si>
    <t>OD-16</t>
  </si>
  <si>
    <t>M04-17</t>
  </si>
  <si>
    <t>ProgrammePublished, ProgrammeRetired</t>
  </si>
  <si>
    <t>Written to the outbox in the same transaction.</t>
  </si>
  <si>
    <t>04B §12; ADD A11</t>
  </si>
  <si>
    <t>M04-18</t>
  </si>
  <si>
    <t>S-07 Programme Configuration</t>
  </si>
  <si>
    <t>Set-up screens and questionnaire builder; immutable history; reason for configuration correction.</t>
  </si>
  <si>
    <t>04C S-07</t>
  </si>
  <si>
    <t>M04-19</t>
  </si>
  <si>
    <t>Clinician approval page</t>
  </si>
  <si>
    <t>Approval is the publish gate; retirement needs typed confirmation.</t>
  </si>
  <si>
    <t>04C S-07, §8</t>
  </si>
  <si>
    <t>M04-20</t>
  </si>
  <si>
    <t>M04-21</t>
  </si>
  <si>
    <t>M04-22</t>
  </si>
  <si>
    <t>M04-23</t>
  </si>
  <si>
    <t>Publication rules</t>
  </si>
  <si>
    <t>Publish without approval refused; edit of a published version or its child config refused; non-clinician approval 403.</t>
  </si>
  <si>
    <t>RM BE-M4</t>
  </si>
  <si>
    <t>M04-24</t>
  </si>
  <si>
    <t>M04-25</t>
  </si>
  <si>
    <t>package-info (owned tables), docs/database/migration-plan.md, docs/architecture/overview.md, traceability rows for ZCR-PRG-001..007, ZCR-CFG-001.</t>
  </si>
  <si>
    <t>M04-26</t>
  </si>
  <si>
    <t>M04-27</t>
  </si>
  <si>
    <t>Evidence of Journey 1 (create and approve a programme) under docs/demo/evidence/ with screenshots.</t>
  </si>
  <si>
    <t>M04-28</t>
  </si>
  <si>
    <t>A programme cannot go live without clinician approval, and a published version cannot be edited. Shown end to end (server and screens) at the sprint demo.</t>
  </si>
  <si>
    <t>M04-29</t>
  </si>
  <si>
    <t>Code review with a named reviewer for security-sensitive code; clinical review of the approval flow (Aga Khan).</t>
  </si>
  <si>
    <t>CLIN, PO</t>
  </si>
  <si>
    <t>M04-30</t>
  </si>
  <si>
    <t>Release v0.4.0 tagged</t>
  </si>
  <si>
    <t>Annotated tag v0.4.0 from a green pipeline; CHANGELOG section dated; next SNAPSHOT set. Dashboard now shows 100%.</t>
  </si>
  <si>
    <t>M05 · External References</t>
  </si>
  <si>
    <t>Keep only the minimum details about members from outside systems, clearly marked as copies.</t>
  </si>
  <si>
    <t>domains.reference: zc_member_reference, zc_external_reference (mig-04)</t>
  </si>
  <si>
    <t>Depends on M04 · Sprints S11 · Screens Members list, member header · Release v0.5.0</t>
  </si>
  <si>
    <t>M05-01</t>
  </si>
  <si>
    <t>Confirm M04 is signed off</t>
  </si>
  <si>
    <t>Dashboard shows M04 at 100% and its Gate out rows are Done. Do not start this sheet before that.</t>
  </si>
  <si>
    <t>M05-02</t>
  </si>
  <si>
    <t>PRD §12.1–12.6, §10.5; 04A §9, §13–14, §20; 04B §13; 04C §10.4; mig-04.</t>
  </si>
  <si>
    <t>M05-03</t>
  </si>
  <si>
    <t>Open Decisions sheet: OD-09 marked Decided, with the ADR or doc that records each.</t>
  </si>
  <si>
    <t>M05-04</t>
  </si>
  <si>
    <t>zc_member_reference, zc_external_reference. Identity ids never supplied; @Version on row_version; tenant_id and created_* not updatable; entities stay inside the service layer.</t>
  </si>
  <si>
    <t>mig-04; 04D §11; ADR-0002</t>
  </si>
  <si>
    <t>M05-05</t>
  </si>
  <si>
    <t>M05-06</t>
  </si>
  <si>
    <t>Unique reference per (source_system, member number, individual) → duplicate absorbed; ck_…_non_auth → copies can never be authoritative.</t>
  </si>
  <si>
    <t>M05-07</t>
  </si>
  <si>
    <t>Minimum copy only</t>
  </si>
  <si>
    <t>Name, phone, payer number plus source_system and source_date; is_authoritative always false.</t>
  </si>
  <si>
    <t>PRD §12.6; 04A INV-9</t>
  </si>
  <si>
    <t>M05-08</t>
  </si>
  <si>
    <t>Never store another system's record</t>
  </si>
  <si>
    <t>No member master, benefits, claims, pre-auth, prescriptions or dispensing data.</t>
  </si>
  <si>
    <t>04D §2; PRD §12.5</t>
  </si>
  <si>
    <t>M05-09</t>
  </si>
  <si>
    <t>PayerPort and ZPS/Eagle adapter</t>
  </si>
  <si>
    <t>Vendor-neutral port; adapter uses harness verbs identify_member and check_eligibility; no direct database access.</t>
  </si>
  <si>
    <t>04B §13; ZCR-INT-003; STD INT-04</t>
  </si>
  <si>
    <t>M05-10</t>
  </si>
  <si>
    <t>Resilience on the payer call</t>
  </si>
  <si>
    <t>Timeouts, circuit breaker, bounded retry on reads; failure returns ZCARE_EXTERNAL_DEPENDENCY_UNAVAILABLE (WARNING, retry), never a 500.</t>
  </si>
  <si>
    <t>ADD A10; STD RES-02..04</t>
  </si>
  <si>
    <t>M05-11</t>
  </si>
  <si>
    <t>Reference snapshot with staleness</t>
  </si>
  <si>
    <t>Cache the reference snapshot; mark it stale after the agreed age.</t>
  </si>
  <si>
    <t>04B §13; 04C §10.4</t>
  </si>
  <si>
    <t>M05-12</t>
  </si>
  <si>
    <t>GET /members/{ref}/care-context (header part)</t>
  </si>
  <si>
    <t>Composes the reference with ZCare records; non-health header now, consent-gated body from M07.</t>
  </si>
  <si>
    <t>04B §11</t>
  </si>
  <si>
    <t>M05-13</t>
  </si>
  <si>
    <t>Members list endpoint</t>
  </si>
  <si>
    <t>Paged list of references known to ZCare with source and date; define in 04B first.</t>
  </si>
  <si>
    <t>M05-14</t>
  </si>
  <si>
    <t>Members list and member header</t>
  </si>
  <si>
    <t>ProvenanceBadge (source, date) on every copied detail; "Stale reference" badge.</t>
  </si>
  <si>
    <t>RM FE-M5; 04C §10.4</t>
  </si>
  <si>
    <t>M05-15</t>
  </si>
  <si>
    <t>M05-16</t>
  </si>
  <si>
    <t>M05-17</t>
  </si>
  <si>
    <t>M05-18</t>
  </si>
  <si>
    <t>ZPS double (WireMock)</t>
  </si>
  <si>
    <t>Up, slow and down cases; down shows the clear message and changes nothing.</t>
  </si>
  <si>
    <t>RM BE-M5; STD QA-07</t>
  </si>
  <si>
    <t>M05-19</t>
  </si>
  <si>
    <t>Forbidden-data sweep</t>
  </si>
  <si>
    <t>Test fails if a table stores claims, benefits or prescription fields.</t>
  </si>
  <si>
    <t>04D §2</t>
  </si>
  <si>
    <t>M05-20</t>
  </si>
  <si>
    <t>M05-21</t>
  </si>
  <si>
    <t>package-info (owned tables), docs/database/migration-plan.md, docs/architecture/overview.md, traceability rows for ZCR-DAT-001, ZCR-INT-001, ZCR-INT-003, ZCR-PRI-001.</t>
  </si>
  <si>
    <t>M05-22</t>
  </si>
  <si>
    <t>M05-23</t>
  </si>
  <si>
    <t>Evidence of members list with provenance badges and a ZPS-down message under docs/demo/evidence/ with screenshots.</t>
  </si>
  <si>
    <t>M05-24</t>
  </si>
  <si>
    <t>Every copied detail shows its source and date, and if ZPS is down users see a clear message, never a silent gap. Shown end to end (server and screens) at the sprint demo.</t>
  </si>
  <si>
    <t>M05-25</t>
  </si>
  <si>
    <t>Code review with a named reviewer for security-sensitive code.</t>
  </si>
  <si>
    <t>M05-26</t>
  </si>
  <si>
    <t>Release v0.5.0 tagged</t>
  </si>
  <si>
    <t>Annotated tag v0.5.0 from a green pipeline; CHANGELOG section dated; next SNAPSHOT set. Dashboard now shows 100%.</t>
  </si>
  <si>
    <t>M06 · Population &amp; Cohort</t>
  </si>
  <si>
    <t>Receive eligible members from the payer and group them, reviewed, ready for invitation.</t>
  </si>
  <si>
    <t>domains.cohort: zc_cohort, zc_cohort_run, zc_cohort_membership (mig-06)</t>
  </si>
  <si>
    <t>Depends on M05 · Sprints S12–S13 · Screens S-08 · Release v0.6.0</t>
  </si>
  <si>
    <t>M06-01</t>
  </si>
  <si>
    <t>Confirm M05 is signed off</t>
  </si>
  <si>
    <t>Dashboard shows M05 at 100% and its Gate out rows are Done. Do not start this sheet before that.</t>
  </si>
  <si>
    <t>M06-02</t>
  </si>
  <si>
    <t>PRD §8.3; 04A §7.2 (DEC-003); 04B §10; 04C S-08; ADD A10–A11; mig-06.</t>
  </si>
  <si>
    <t>M06-03</t>
  </si>
  <si>
    <t>zc_cohort, zc_cohort_run, zc_cohort_membership. Identity ids never supplied; @Version on row_version; tenant_id and created_* not updatable; entities stay inside the service layer.</t>
  </si>
  <si>
    <t>mig-06; 04D §11; ADR-0002</t>
  </si>
  <si>
    <t>M06-04</t>
  </si>
  <si>
    <t>M06-05</t>
  </si>
  <si>
    <t>uq membership → repeat identification absorbed; pending_review run → ZCARE_COHORT_REVIEW_REQUIRED (ESCALATE).</t>
  </si>
  <si>
    <t>M06-06</t>
  </si>
  <si>
    <t>Cohort lifecycle</t>
  </si>
  <si>
    <t>Per programme version: draft → active → closed.</t>
  </si>
  <si>
    <t>mig-06</t>
  </si>
  <si>
    <t>M06-07</t>
  </si>
  <si>
    <t>Condition-agnostic identification</t>
  </si>
  <si>
    <t>Core asks PayerPort for members flagged with the programme condition; Eagle adapter matches AilmentType Diabetes and Diabeties, never ICD codes.</t>
  </si>
  <si>
    <t>04A §7.2, §20; 04B §21</t>
  </si>
  <si>
    <t>M06-08</t>
  </si>
  <si>
    <t>Hold implausible volumes</t>
  </si>
  <si>
    <t>Run goes to pending_review with a hold reason; a person releases or rejects it.</t>
  </si>
  <si>
    <t>UC-ZC-011 E2; mig-06</t>
  </si>
  <si>
    <t>M06-09</t>
  </si>
  <si>
    <t>Membership provenance</t>
  </si>
  <si>
    <t>Inclusion method, reason and source date on every member; removal needs a reason; history kept.</t>
  </si>
  <si>
    <t>ZCR-COH-003</t>
  </si>
  <si>
    <t>M06-10</t>
  </si>
  <si>
    <t>Membership is not enrolment</t>
  </si>
  <si>
    <t>Admin review and release before any contact; auto-invite setting off by default.</t>
  </si>
  <si>
    <t>ZCR-COH-004; RM BE-M6</t>
  </si>
  <si>
    <t>M06-11</t>
  </si>
  <si>
    <t>Signed payer webhooks</t>
  </si>
  <si>
    <t>/webhooks/payer/* (new members, leavers, reconciliations) verified with HMAC-SHA256; duplicates absorbed via the inbox.</t>
  </si>
  <si>
    <t>RM BE-M6; 04D §17</t>
  </si>
  <si>
    <t>M06-12</t>
  </si>
  <si>
    <t>POST /cohorts, /cohorts/{id}/members, /cohorts/{id}:identify</t>
  </si>
  <si>
    <t>Programme admin; identify returns the run and its review state.</t>
  </si>
  <si>
    <t>M06-13</t>
  </si>
  <si>
    <t>Review and release endpoint</t>
  </si>
  <si>
    <t>Release or reject a pending run with a reason; define in 04B first.</t>
  </si>
  <si>
    <t>M06-14</t>
  </si>
  <si>
    <t>CohortMemberIdentified</t>
  </si>
  <si>
    <t>One per match, with inclusionMethod and inclusionSourceDetail; via the outbox.</t>
  </si>
  <si>
    <t>M06-15</t>
  </si>
  <si>
    <t>S-08 Cohort Review &amp; Release</t>
  </si>
  <si>
    <t>Source strength per member; the 14.7% diagnosis-blind statement; release only after review; "ready to invite" cards.</t>
  </si>
  <si>
    <t>04C S-08</t>
  </si>
  <si>
    <t>M06-16</t>
  </si>
  <si>
    <t>M06-17</t>
  </si>
  <si>
    <t>M06-18</t>
  </si>
  <si>
    <t>M06-19</t>
  </si>
  <si>
    <t>Identification cases</t>
  </si>
  <si>
    <t>Both spellings matched; repeat run absorbed; volume hold; payer down path.</t>
  </si>
  <si>
    <t>04A §7.2; UAT-01</t>
  </si>
  <si>
    <t>M06-20</t>
  </si>
  <si>
    <t>Forged webhook</t>
  </si>
  <si>
    <t>Invalid signature → 401, security event, zero state change.</t>
  </si>
  <si>
    <t>RM BE-M6; UAT-16</t>
  </si>
  <si>
    <t>M06-21</t>
  </si>
  <si>
    <t>M06-22</t>
  </si>
  <si>
    <t>package-info (owned tables), docs/database/migration-plan.md, docs/architecture/overview.md, traceability rows for ZCR-COH-001..004.</t>
  </si>
  <si>
    <t>M06-23</t>
  </si>
  <si>
    <t>M06-24</t>
  </si>
  <si>
    <t>Evidence of Journey 2 (identify, review and release a cohort) under docs/demo/evidence/ with screenshots.</t>
  </si>
  <si>
    <t>M06-25</t>
  </si>
  <si>
    <t>A member sent by the payer appears as ready to invite, and a message without a valid signature is rejected, logged and changes nothing. Shown end to end (server and screens) at the sprint demo.</t>
  </si>
  <si>
    <t>M06-26</t>
  </si>
  <si>
    <t>M06-27</t>
  </si>
  <si>
    <t>Release v0.6.0 tagged</t>
  </si>
  <si>
    <t>Annotated tag v0.6.0 from a green pipeline; CHANGELOG section dated; next SNAPSHOT set. Dashboard now shows 100%.</t>
  </si>
  <si>
    <t>M07 · Enrolment, Consent &amp; Preferences</t>
  </si>
  <si>
    <t>Invite members, record their consent and start their care, never without consent.</t>
  </si>
  <si>
    <t>domains.enrolment: zc_enrolment, zc_consent_record, zc_member_preference (mig-07)</t>
  </si>
  <si>
    <t>Depends on M06 · Sprints S14–S16 · Screens S-02, S-06, S-15, S-16 · Release v0.7.0</t>
  </si>
  <si>
    <t>M07-01</t>
  </si>
  <si>
    <t>Confirm M06 is signed off</t>
  </si>
  <si>
    <t>Dashboard shows M06 at 100% and its Gate out rows are Done. Do not start this sheet before that.</t>
  </si>
  <si>
    <t>M07-02</t>
  </si>
  <si>
    <t>PRD §8.4; 04A §7.3, §16, §22.1; 04B §10 (enrolments), §6; 04C S-02, S-06, S-15, S-16, W-1; ADD A1–A5, D; mig-07.</t>
  </si>
  <si>
    <t>M07-03</t>
  </si>
  <si>
    <t>Open Decisions sheet: OD-16, OD-19, OD-30 marked Decided, with the ADR or doc that records each.</t>
  </si>
  <si>
    <t>M07-04</t>
  </si>
  <si>
    <t>zc_enrolment, zc_consent_record, zc_member_preference. Identity ids never supplied; @Version on row_version; tenant_id and created_* not updatable; entities stay inside the service layer.</t>
  </si>
  <si>
    <t>mig-07; 04D §11; ADR-0002</t>
  </si>
  <si>
    <t>M07-05</t>
  </si>
  <si>
    <t>M07-06</t>
  </si>
  <si>
    <t>uq_zc_enrolment_one_active → ZCARE_ENROLMENT_DUPLICATE (WARNING); trg_zc_enrolment_pins → programme version fixed at invitation.</t>
  </si>
  <si>
    <t>M07-07</t>
  </si>
  <si>
    <t>Invite</t>
  </si>
  <si>
    <t>Eligibility check via PayerPort; enrolment created as invited with the programme version pinned; eligibility snapshot kept non-authoritative.</t>
  </si>
  <si>
    <t>ZCR-ENR-001, ENR-004; 04A §22.1</t>
  </si>
  <si>
    <t>M07-08</t>
  </si>
  <si>
    <t>Enrolment lifecycle</t>
  </si>
  <si>
    <t>invited → active → suspended → completed → withdrawn; one active enrolment per member and programme; exit needs reason and date; history never deleted.</t>
  </si>
  <si>
    <t>ZCR-ENR-005..007; 04A INV-1</t>
  </si>
  <si>
    <t>M07-09</t>
  </si>
  <si>
    <t>Consent record</t>
  </si>
  <si>
    <t>captured → validated → revoked / scope_reduced / superseded; one in force; wording version and channel; revocation keeps the verbatim text.</t>
  </si>
  <si>
    <t>mig-07; DEC-021</t>
  </si>
  <si>
    <t>M07-10</t>
  </si>
  <si>
    <t>ConsentGateService (one for everything)</t>
  </si>
  <si>
    <t>Checked when acting, sending and viewing; missing → ZCARE_CONSENT_REQUIRED (ESCALATE, request_consent); revoked → ZCARE_CONSENT_REVOKED (HARD_STOP); never a 409.</t>
  </si>
  <si>
    <t>RM BE-M7; 04B §2, §6; 04D §9.4</t>
  </si>
  <si>
    <t>M07-11</t>
  </si>
  <si>
    <t>Activation by the care manager</t>
  </si>
  <si>
    <t>Never automatic on consent; needs validated consent and a responsible care manager; nextActions create_care_plan, assign_task; audit ACTIVATE_ENROLMENT.</t>
  </si>
  <si>
    <t>04B §20; 04C J3</t>
  </si>
  <si>
    <t>M07-12</t>
  </si>
  <si>
    <t>Suspend and withdraw</t>
  </si>
  <si>
    <t>Mandatory reason; exit cancels open work and refills with a truthful label (consent_revoked or enrolment_ended), via events consumed in M10/M12.</t>
  </si>
  <si>
    <t>ADD A1, A2</t>
  </si>
  <si>
    <t>M07-13</t>
  </si>
  <si>
    <t>Assisted consent</t>
  </si>
  <si>
    <t>Care manager may record it, but it cannot validate or activate until the Privacy approval record exists; assisted revocation emits ConsentRevoked.</t>
  </si>
  <si>
    <t>BE, PRIV</t>
  </si>
  <si>
    <t>ADD A3, A4</t>
  </si>
  <si>
    <t>M07-14</t>
  </si>
  <si>
    <t>Contact preferences</t>
  </si>
  <si>
    <t>Do-not-contact (reason and time), channel, language, quiet hours, opted-out content classes.</t>
  </si>
  <si>
    <t>ZCR-OUT-003; mig-07</t>
  </si>
  <si>
    <t>M07-15</t>
  </si>
  <si>
    <t>Audited viewing, no clinical data before consent</t>
  </si>
  <si>
    <t>Every member-context view writes VIEW_MEMBER_CONTEXT; enrolment holds identity and programme context only.</t>
  </si>
  <si>
    <t>RM BE-M7; ADD D</t>
  </si>
  <si>
    <t>M07-16</t>
  </si>
  <si>
    <t>Invitation dispatch via a stub</t>
  </si>
  <si>
    <t>Condition-neutral invitation sent through OutreachPort using the no-op adapter until M15.</t>
  </si>
  <si>
    <t>STD INT-04, RES-06; 04A §22.1</t>
  </si>
  <si>
    <t>M07-17</t>
  </si>
  <si>
    <t>POST /enrolments:invite</t>
  </si>
  <si>
    <t>Care manager.</t>
  </si>
  <si>
    <t>M07-18</t>
  </si>
  <si>
    <t>POST /enrolments/{id}/consent:capture</t>
  </si>
  <si>
    <t>Member (via WhatsApp, from M15) or care manager (assisted).</t>
  </si>
  <si>
    <t>M07-19</t>
  </si>
  <si>
    <t>POST /enrolments/{id}:activate, :suspend, :withdraw</t>
  </si>
  <si>
    <t>Care manager; activate requires valid consent; suspend and withdraw require a reason.</t>
  </si>
  <si>
    <t>04B §10, §20</t>
  </si>
  <si>
    <t>M07-20</t>
  </si>
  <si>
    <t>GET /enrolments?filter[status]=</t>
  </si>
  <si>
    <t>Paged thin projection.</t>
  </si>
  <si>
    <t>M07-21</t>
  </si>
  <si>
    <t>Preferences and consent re-prompt endpoints</t>
  </si>
  <si>
    <t>Not in 04B yet; define before building.</t>
  </si>
  <si>
    <t>M07-22</t>
  </si>
  <si>
    <t>Enrolment and consent events</t>
  </si>
  <si>
    <t>EnrolmentInvited, ConsentCaptured (PHI), ConsentValidated, ConsentRevoked, EnrolmentActivated, EnrolmentSuspended, EnrolmentWithdrawn.</t>
  </si>
  <si>
    <t>04B §12</t>
  </si>
  <si>
    <t>M07-23</t>
  </si>
  <si>
    <t>S-06 Member 360</t>
  </si>
  <si>
    <t>Non-health header always visible; body consent-gated; REQUIRED shows "Send consent prompt"; REVOKED shows no buttons; "Access to this record is logged".</t>
  </si>
  <si>
    <t>04C S-06</t>
  </si>
  <si>
    <t>M07-24</t>
  </si>
  <si>
    <t>S-02 Enrolment &amp; Consent</t>
  </si>
  <si>
    <t>CM-confirmed activation; ReasonDialog for suspend/withdraw; typed confirmation for withdrawal.</t>
  </si>
  <si>
    <t>04C S-02</t>
  </si>
  <si>
    <t>M07-25</t>
  </si>
  <si>
    <t>S-15 Consent Record and S-16 Preferences</t>
  </si>
  <si>
    <t>Six consent states, verbatim in a blockquote, wording version, DPO export; preference fields.</t>
  </si>
  <si>
    <t>04C S-15, S-16</t>
  </si>
  <si>
    <t>M07-26</t>
  </si>
  <si>
    <t>M07-27</t>
  </si>
  <si>
    <t>M07-28</t>
  </si>
  <si>
    <t>M07-29</t>
  </si>
  <si>
    <t>Consent-gate tests</t>
  </si>
  <si>
    <t>Without valid consent every command, dispatch and query path returns ZCARE_CONSENT_REQUIRED or ZCARE_CONSENT_REVOKED (HTTP 200 exception).</t>
  </si>
  <si>
    <t>04D §9.4; 04F §18</t>
  </si>
  <si>
    <t>M07-30</t>
  </si>
  <si>
    <t>Activation rules</t>
  </si>
  <si>
    <t>No activation without validated consent; duplicate enrolment gives WARNING; withdrawn consent blocks every action.</t>
  </si>
  <si>
    <t>UAT-02..04</t>
  </si>
  <si>
    <t>M07-31</t>
  </si>
  <si>
    <t>Assisted consent blocked without Privacy record</t>
  </si>
  <si>
    <t>Validation and activation refused until the approval record exists.</t>
  </si>
  <si>
    <t>ADD A4</t>
  </si>
  <si>
    <t>M07-32</t>
  </si>
  <si>
    <t>M07-33</t>
  </si>
  <si>
    <t>package-info (owned tables), docs/database/migration-plan.md, docs/architecture/overview.md, traceability rows for ZCR-ENR-001..007, ZCR-OUT-003, ZCR-PRI-001.</t>
  </si>
  <si>
    <t>M07-34</t>
  </si>
  <si>
    <t>M07-35</t>
  </si>
  <si>
    <t>Evidence of Journeys 3, 4 and 20 (invite, consent, activate, withdraw) under docs/demo/evidence/ with screenshots.</t>
  </si>
  <si>
    <t>M07-36</t>
  </si>
  <si>
    <t>No one can be activated without valid consent, and withdrawn consent blocks every action and cancels follow-on work. Shown end to end (server and screens) at the sprint demo.</t>
  </si>
  <si>
    <t>M07-37</t>
  </si>
  <si>
    <t>Code review with a named reviewer for security-sensitive code; Privacy review of the consent record and assisted-consent flow.</t>
  </si>
  <si>
    <t>PRIV, PO</t>
  </si>
  <si>
    <t>M07-38</t>
  </si>
  <si>
    <t>Release v0.7.0 tagged</t>
  </si>
  <si>
    <t>Annotated tag v0.7.0 from a green pipeline; CHANGELOG section dated; next SNAPSHOT set. Dashboard now shows 100%.</t>
  </si>
  <si>
    <t>M08 · Assessment &amp; Risk</t>
  </si>
  <si>
    <t>Run health questionnaires and set a priority level for each member.</t>
  </si>
  <si>
    <t>domains.assessment: zc_assessment, zc_assessment_response, zc_risk_classification (mig-08)</t>
  </si>
  <si>
    <t>Depends on M07 · Sprints S17–S18 · Screens S-09 · Release v0.8.0</t>
  </si>
  <si>
    <t>M08-01</t>
  </si>
  <si>
    <t>Confirm M07 is signed off</t>
  </si>
  <si>
    <t>Dashboard shows M07 at 100% and its Gate out rows are Done. Do not start this sheet before that.</t>
  </si>
  <si>
    <t>M08-02</t>
  </si>
  <si>
    <t>PRD §8.5; 04A §7.4; 04B §10; 04C S-09, W-3; 04E §1; mig-08.</t>
  </si>
  <si>
    <t>M08-03</t>
  </si>
  <si>
    <t>Open Decisions sheet: OD-15, OD-16 marked Decided, with the ADR or doc that records each.</t>
  </si>
  <si>
    <t>M08-04</t>
  </si>
  <si>
    <t>zc_assessment, zc_assessment_response, zc_risk_classification. Identity ids never supplied; @Version on row_version; tenant_id and created_* not updatable; entities stay inside the service layer.</t>
  </si>
  <si>
    <t>mig-08; 04D §11; ADR-0002</t>
  </si>
  <si>
    <t>M08-05</t>
  </si>
  <si>
    <t>zc_assessment_response, zc_risk_classification: INSERT and SELECT only; a change is a new row (trigger and privilege already enforce it).</t>
  </si>
  <si>
    <t>M08-06</t>
  </si>
  <si>
    <t>M08-07</t>
  </si>
  <si>
    <t>trg_zc_assessment_pins → template version fixed at assignment; ck_…_override → override needs a reason.</t>
  </si>
  <si>
    <t>M08-08</t>
  </si>
  <si>
    <t>Assessment lifecycle</t>
  </si>
  <si>
    <t>assigned → in_progress → completed / cancelled / expired, pinned to the template version.</t>
  </si>
  <si>
    <t>mig-08</t>
  </si>
  <si>
    <t>M08-09</t>
  </si>
  <si>
    <t>Append-only answers</t>
  </si>
  <si>
    <t>A changed answer is a new row; the latest answer wins.</t>
  </si>
  <si>
    <t>ZCR-ASM-002; 04D</t>
  </si>
  <si>
    <t>M08-10</t>
  </si>
  <si>
    <t>Deterministic scoring</t>
  </si>
  <si>
    <t>Scores from the pinned version's scoring rules only; score_detail explains the result; never scored complete when incomplete.</t>
  </si>
  <si>
    <t>ZCR-ASM-003; 04E §1</t>
  </si>
  <si>
    <t>M08-11</t>
  </si>
  <si>
    <t>Priority, never diagnosis</t>
  </si>
  <si>
    <t>Risk classification is append-only programme priority; tier names free text until OD-15 closes.</t>
  </si>
  <si>
    <t>ZCR-ASM-004; ADD D</t>
  </si>
  <si>
    <t>M08-12</t>
  </si>
  <si>
    <t>Clinician confirm or override</t>
  </si>
  <si>
    <t>Override creates a new row linked to the one it overrides, with a reason.</t>
  </si>
  <si>
    <t>ZCR-ASM-005</t>
  </si>
  <si>
    <t>M08-13</t>
  </si>
  <si>
    <t>Expiry</t>
  </si>
  <si>
    <t>Expired assessments raise a care-manager task (wired when M10 lands).</t>
  </si>
  <si>
    <t>04C W-3</t>
  </si>
  <si>
    <t>M08-14</t>
  </si>
  <si>
    <t>POST /assessments/{id}:complete</t>
  </si>
  <si>
    <t>Care manager or member; consent-gated.</t>
  </si>
  <si>
    <t>M08-15</t>
  </si>
  <si>
    <t>Assign and answer endpoints</t>
  </si>
  <si>
    <t>Assign, record answers, confirm/override tier; define in 04B first.</t>
  </si>
  <si>
    <t>M08-16</t>
  </si>
  <si>
    <t>AssessmentCompleted, RiskClassificationChanged</t>
  </si>
  <si>
    <t>Via the outbox.</t>
  </si>
  <si>
    <t>M08-17</t>
  </si>
  <si>
    <t>S-09 Assessment</t>
  </si>
  <si>
    <t>Questionnaire with score; tier shown as programme priority; clinician confirm/override; validation on both surfaces.</t>
  </si>
  <si>
    <t>04C S-09</t>
  </si>
  <si>
    <t>M08-18</t>
  </si>
  <si>
    <t>M08-19</t>
  </si>
  <si>
    <t>M08-20</t>
  </si>
  <si>
    <t>M08-21</t>
  </si>
  <si>
    <t>M08-22</t>
  </si>
  <si>
    <t>Repeatable scores</t>
  </si>
  <si>
    <t>Property test: same answers and version always give the same score and tier.</t>
  </si>
  <si>
    <t>RM BE-M8; UAT-26</t>
  </si>
  <si>
    <t>M08-23</t>
  </si>
  <si>
    <t>M08-24</t>
  </si>
  <si>
    <t>package-info (owned tables), docs/database/migration-plan.md, docs/architecture/overview.md, traceability rows for ZCR-ASM-001..005.</t>
  </si>
  <si>
    <t>M08-25</t>
  </si>
  <si>
    <t>M08-26</t>
  </si>
  <si>
    <t>Evidence of Journey 5 (complete an assessment) under docs/demo/evidence/ with screenshots.</t>
  </si>
  <si>
    <t>M08-27</t>
  </si>
  <si>
    <t>The same answers always give the same score, and every override has a reason. Shown end to end (server and screens) at the sprint demo.</t>
  </si>
  <si>
    <t>M08-28</t>
  </si>
  <si>
    <t>M08-29</t>
  </si>
  <si>
    <t>Release v0.8.0 tagged</t>
  </si>
  <si>
    <t>Annotated tag v0.8.0 from a green pipeline; CHANGELOG section dated; next SNAPSHOT set. Dashboard now shows 100%.</t>
  </si>
  <si>
    <t>M09 · Care Planning</t>
  </si>
  <si>
    <t>Create care plans with measurable goals that a clinician approves, never the person who wrote them.</t>
  </si>
  <si>
    <t>domains.careplan: zc_care_plan, zc_goal, zc_intervention, zc_care_plan_link, zc_plan_review (mig-09)</t>
  </si>
  <si>
    <t>Depends on M08 · Sprints S19–S21 · Screens S-03, S-13 · Release v0.9.0</t>
  </si>
  <si>
    <t>M09-01</t>
  </si>
  <si>
    <t>Confirm M08 is signed off</t>
  </si>
  <si>
    <t>Dashboard shows M08 at 100% and its Gate out rows are Done. Do not start this sheet before that.</t>
  </si>
  <si>
    <t>M09-02</t>
  </si>
  <si>
    <t>PRD §8.6; 04A §7.5, §22.2; 04B §10; 04C S-03, S-13; ADD A6, Part E, D; mig-09.</t>
  </si>
  <si>
    <t>M09-03</t>
  </si>
  <si>
    <t>Open Decisions sheet: OD-16, OD-17, OD-20 marked Decided, with the ADR or doc that records each.</t>
  </si>
  <si>
    <t>M09-04</t>
  </si>
  <si>
    <t>zc_care_plan, zc_goal, zc_intervention, zc_care_plan_link, zc_plan_review. Identity ids never supplied; @Version on row_version; tenant_id and created_* not updatable; entities stay inside the service layer.</t>
  </si>
  <si>
    <t>mig-09; 04D §11; ADR-0002</t>
  </si>
  <si>
    <t>M09-05</t>
  </si>
  <si>
    <t>zc_plan_review: INSERT and SELECT only; a change is a new row (trigger and privilege already enforce it).</t>
  </si>
  <si>
    <t>M09-06</t>
  </si>
  <si>
    <t>M09-07</t>
  </si>
  <si>
    <t>trg_zc_care_plan_approval_immutable → ZCARE_PLAN_VERSION_IMMUTABLE; uq_zc_care_plan_one_active → one active plan; ck_zc_goal_measurable → field error naming the goal.</t>
  </si>
  <si>
    <t>M09-08</t>
  </si>
  <si>
    <t>Plan lifecycle</t>
  </si>
  <si>
    <t>draft → pending_approval → active; request changes → draft; reject → rejected; then revised, suspended, completed, closed.</t>
  </si>
  <si>
    <t>04A §22.2; mig-09</t>
  </si>
  <si>
    <t>M09-09</t>
  </si>
  <si>
    <t>Clinician-only approval, author excluded</t>
  </si>
  <si>
    <t>Approver must be a clinician and not the author (code; DB does not check); others get 403 from the filter layer.</t>
  </si>
  <si>
    <t>RM §1.2, BE-M9; ADD Part E</t>
  </si>
  <si>
    <t>M09-10</t>
  </si>
  <si>
    <t>Approval is final</t>
  </si>
  <si>
    <t>Approver and time write-once; never approved by timeout; no bulk approve.</t>
  </si>
  <si>
    <t>mig-09; ADD D</t>
  </si>
  <si>
    <t>M09-11</t>
  </si>
  <si>
    <t>Measurable goals</t>
  </si>
  <si>
    <t>Every goal has a target value and unit or criteria; a plan with zero goals cannot be submitted.</t>
  </si>
  <si>
    <t>ck_zc_goal_measurable; ADD A6</t>
  </si>
  <si>
    <t>M09-12</t>
  </si>
  <si>
    <t>Revisions keep history</t>
  </si>
  <si>
    <t>A revision copies goals and open interventions; the previous version keeps its approver.</t>
  </si>
  <si>
    <t>ZCR-CRP-004; ADD A6</t>
  </si>
  <si>
    <t>M09-13</t>
  </si>
  <si>
    <t>Plan reviews</t>
  </si>
  <si>
    <t>Every decision appended to zc_plan_review; notes required for anything but approved or continue_unchanged.</t>
  </si>
  <si>
    <t>mig-09</t>
  </si>
  <si>
    <t>M09-14</t>
  </si>
  <si>
    <t>Tasks from plans via events</t>
  </si>
  <si>
    <t>Submit emits the event that creates a PLAN_APPROVAL task; activation emits tasks from interventions (both consumed in M10).</t>
  </si>
  <si>
    <t>ADD Part E; 04A §22.2</t>
  </si>
  <si>
    <t>M09-15</t>
  </si>
  <si>
    <t>POST /care-plans</t>
  </si>
  <si>
    <t>Care manager drafts; consent-gated.</t>
  </si>
  <si>
    <t>M09-16</t>
  </si>
  <si>
    <t>Submit for approval</t>
  </si>
  <si>
    <t>nextActions names submit_for_approval but 04B has no endpoint; define it first.</t>
  </si>
  <si>
    <t>M09-17</t>
  </si>
  <si>
    <t>POST /care-plans/{id}:activate, :request-changes, :reject</t>
  </si>
  <si>
    <t>Clinician only; request-changes and reject need notes.</t>
  </si>
  <si>
    <t>04B §10; ADD Part E</t>
  </si>
  <si>
    <t>M09-18</t>
  </si>
  <si>
    <t>CarePlanActivated, CarePlanRevised</t>
  </si>
  <si>
    <t>Via the outbox; plus the submit event for the approval task.</t>
  </si>
  <si>
    <t>M09-19</t>
  </si>
  <si>
    <t>S-03 Care Plan</t>
  </si>
  <si>
    <t>Goal validation naming the goal; autosave drafts; ApprovalHistory; "Awaiting approval" badge.</t>
  </si>
  <si>
    <t>04C S-03</t>
  </si>
  <si>
    <t>M09-20</t>
  </si>
  <si>
    <t>S-13 Clinician Approval Queue</t>
  </si>
  <si>
    <t>Waiting-time column; comments for changes, reason for reject; nothing auto-advances; works at 768 px.</t>
  </si>
  <si>
    <t>04C S-13</t>
  </si>
  <si>
    <t>M09-21</t>
  </si>
  <si>
    <t>M09-22</t>
  </si>
  <si>
    <t>M09-23</t>
  </si>
  <si>
    <t>M09-24</t>
  </si>
  <si>
    <t>M09-25</t>
  </si>
  <si>
    <t>Approval rules</t>
  </si>
  <si>
    <t>Author cannot approve; care manager approval gives 403 (logged); approved fields immutable; one active plan; revision copies goals.</t>
  </si>
  <si>
    <t>UAT-05, UAT-25</t>
  </si>
  <si>
    <t>M09-26</t>
  </si>
  <si>
    <t>M09-27</t>
  </si>
  <si>
    <t>package-info (owned tables), docs/database/migration-plan.md, docs/architecture/overview.md, traceability rows for ZCR-CRP-001..005.</t>
  </si>
  <si>
    <t>M09-28</t>
  </si>
  <si>
    <t>M09-29</t>
  </si>
  <si>
    <t>Evidence of Journey 6 (draft, submit, clinician approval) under docs/demo/evidence/ with screenshots.</t>
  </si>
  <si>
    <t>M09-30</t>
  </si>
  <si>
    <t>Only a clinician activates a plan, authors cannot approve their own plans, and each member has one active plan. Shown end to end (server and screens) at the sprint demo.</t>
  </si>
  <si>
    <t>M09-31</t>
  </si>
  <si>
    <t>M09-32</t>
  </si>
  <si>
    <t>Release v0.9.0 tagged</t>
  </si>
  <si>
    <t>Annotated tag v0.9.0 from a green pipeline; CHANGELOG section dated; next SNAPSHOT set. Dashboard now shows 100%.</t>
  </si>
  <si>
    <t>M10 · Care Work</t>
  </si>
  <si>
    <t>Turn plans and alerts into clear, prioritised to-do lists for the care team.</t>
  </si>
  <si>
    <t>domains.carework: zc_task, zc_task_dependency, zc_task_assignment_history, zc_work_queue_definition (mig-10)</t>
  </si>
  <si>
    <t>Depends on M09 · Sprints S22–S23 · Screens S-01 · Release v0.10.0</t>
  </si>
  <si>
    <t>M10-01</t>
  </si>
  <si>
    <t>Confirm M09 is signed off</t>
  </si>
  <si>
    <t>Dashboard shows M09 at 100% and its Gate out rows are Done. Do not start this sheet before that.</t>
  </si>
  <si>
    <t>M10-02</t>
  </si>
  <si>
    <t>PRD §8.7; 04A §7.6; 04B §10–11; 04C S-01; ADD A1, B, E; mig-10.</t>
  </si>
  <si>
    <t>M10-03</t>
  </si>
  <si>
    <t>Open Decisions sheet: OD-16, OD-29 marked Decided, with the ADR or doc that records each.</t>
  </si>
  <si>
    <t>M10-04</t>
  </si>
  <si>
    <t>zc_task, zc_task_dependency, zc_task_assignment_history, zc_work_queue_definition. Identity ids never supplied; @Version on row_version; tenant_id and created_* not updatable; entities stay inside the service layer.</t>
  </si>
  <si>
    <t>mig-10; 04D §11; ADR-0002</t>
  </si>
  <si>
    <t>M10-05</t>
  </si>
  <si>
    <t>zc_task_assignment_history: INSERT and SELECT only; a change is a new row (trigger and privilege already enforce it).</t>
  </si>
  <si>
    <t>M10-06</t>
  </si>
  <si>
    <t>M10-07</t>
  </si>
  <si>
    <t>trg_zc_task_dependency_gate → task blocked by an open prerequisite; restricted completion → ZCARE_TASK_RESTRICTED (ESCALATE, in the envelope, not 403).</t>
  </si>
  <si>
    <t>M10-08</t>
  </si>
  <si>
    <t>Task lifecycle</t>
  </si>
  <si>
    <t>assigned → accepted → in_progress → blocked → completed / cancelled; priority 1–5; assignee is a person or a role.</t>
  </si>
  <si>
    <t>mig-10</t>
  </si>
  <si>
    <t>M10-09</t>
  </si>
  <si>
    <t>Tasks from earlier domains</t>
  </si>
  <si>
    <t>Consume events: PLAN_APPROVAL on plan submit, intervention tasks on plan activation, expired assessments, cancellations on enrolment exit with the right label.</t>
  </si>
  <si>
    <t>ADD A1, Part E</t>
  </si>
  <si>
    <t>M10-10</t>
  </si>
  <si>
    <t>Dependencies</t>
  </si>
  <si>
    <t>A task cannot complete while a prerequisite is open; removing a dependency needs a reason.</t>
  </si>
  <si>
    <t>M10-11</t>
  </si>
  <si>
    <t>Reassignment history</t>
  </si>
  <si>
    <t>Every reassignment appends a row; cancel needs a reason.</t>
  </si>
  <si>
    <t>ZCR-WRK-004</t>
  </si>
  <si>
    <t>M10-12</t>
  </si>
  <si>
    <t>Restricted task types</t>
  </si>
  <si>
    <t>PLAN_APPROVAL, THRESHOLD_REVIEW and similar completable only by their role owner.</t>
  </si>
  <si>
    <t>UC-ZC-003 E1; ADD B</t>
  </si>
  <si>
    <t>M10-13</t>
  </si>
  <si>
    <t>Completion is not an outcome</t>
  </si>
  <si>
    <t>Completing a task never records a clinical or programme outcome.</t>
  </si>
  <si>
    <t>ZCR-WRK-005</t>
  </si>
  <si>
    <t>M10-14</t>
  </si>
  <si>
    <t>Deadline job</t>
  </si>
  <si>
    <t>Scheduled job sets sla_state and emits TaskOverdue; SLA values from OD-29.</t>
  </si>
  <si>
    <t>RM BE-M10</t>
  </si>
  <si>
    <t>M10-15</t>
  </si>
  <si>
    <t>Work queues as queries</t>
  </si>
  <si>
    <t>Queue definitions filter zc_task; paged thin projections on the queue indexes.</t>
  </si>
  <si>
    <t>mig-10; 04F §8</t>
  </si>
  <si>
    <t>M10-16</t>
  </si>
  <si>
    <t>POST /tasks, POST /tasks/{id}:complete, GET /work-queues/{role}</t>
  </si>
  <si>
    <t>Care manager; queue paged 1-based.</t>
  </si>
  <si>
    <t>04B §10–11</t>
  </si>
  <si>
    <t>M10-17</t>
  </si>
  <si>
    <t>Accept, cancel, reassign, escalate</t>
  </si>
  <si>
    <t>In 04C but missing from 04B; define before building.</t>
  </si>
  <si>
    <t>M10-18</t>
  </si>
  <si>
    <t>TaskAssigned, TaskCompleted, TaskOverdue</t>
  </si>
  <si>
    <t>M10-19</t>
  </si>
  <si>
    <t>S-01 Work Queue</t>
  </si>
  <si>
    <t>Origin badges linking to the source; Blocked chip; completion copy; three empty states; responsive columns; aria-sort and aria-live.</t>
  </si>
  <si>
    <t>04C S-01</t>
  </si>
  <si>
    <t>M10-20</t>
  </si>
  <si>
    <t>M10-21</t>
  </si>
  <si>
    <t>M10-22</t>
  </si>
  <si>
    <t>M10-23</t>
  </si>
  <si>
    <t>M10-24</t>
  </si>
  <si>
    <t>Queue performance</t>
  </si>
  <si>
    <t>p95 under 500 ms at 100 times pilot synthetic volume.</t>
  </si>
  <si>
    <t>04F §22; RM BE-M10</t>
  </si>
  <si>
    <t>M10-25</t>
  </si>
  <si>
    <t>Cross-domain task flows</t>
  </si>
  <si>
    <t>Plan submit creates PLAN_APPROVAL; enrolment exit cancels open tasks with the right label.</t>
  </si>
  <si>
    <t>ADD A1; UAT-06, UAT-09</t>
  </si>
  <si>
    <t>M10-26</t>
  </si>
  <si>
    <t>M10-27</t>
  </si>
  <si>
    <t>package-info (owned tables), docs/database/migration-plan.md, docs/architecture/overview.md, traceability rows for ZCR-WRK-001..005.</t>
  </si>
  <si>
    <t>M10-28</t>
  </si>
  <si>
    <t>M10-29</t>
  </si>
  <si>
    <t>Evidence of Journeys 7 and 8 (work a task from the queue) under docs/demo/evidence/ with screenshots.</t>
  </si>
  <si>
    <t>M10-30</t>
  </si>
  <si>
    <t>Each care manager has a prioritised queue that loads in under half a second at pilot scale, and overdue work is flagged. Shown end to end (server and screens) at the sprint demo.</t>
  </si>
  <si>
    <t>M10-31</t>
  </si>
  <si>
    <t>M10-32</t>
  </si>
  <si>
    <t>Release v0.10.0 tagged</t>
  </si>
  <si>
    <t>Annotated tag v0.10.0 from a green pipeline; CHANGELOG section dated; next SNAPSHOT set. Dashboard now shows 100%.</t>
  </si>
  <si>
    <t>M11 · Referrals &amp; Provider Participation</t>
  </si>
  <si>
    <t>Refer members to providers such as Aga Khan and track the outcome.</t>
  </si>
  <si>
    <t>domains.referral: zc_referral, zc_transition, zc_provider_participation, zc_provider_action (mig-11)</t>
  </si>
  <si>
    <t>Depends on M10 · Sprints S24–S25 · Screens S-11, provider screens · Release v0.11.0</t>
  </si>
  <si>
    <t>M11-01</t>
  </si>
  <si>
    <t>Confirm M10 is signed off</t>
  </si>
  <si>
    <t>Dashboard shows M10 at 100% and its Gate out rows are Done. Do not start this sheet before that.</t>
  </si>
  <si>
    <t>M11-02</t>
  </si>
  <si>
    <t>PRD §8.8, §8.14, §10.6, §12.8; 04A §7.7, §7.13, §16; 04B §10, §13–14; 04C S-11; ADD A9; mig-11.</t>
  </si>
  <si>
    <t>M11-03</t>
  </si>
  <si>
    <t>Open Decisions sheet: OD-23 marked Decided, with the ADR or doc that records each.</t>
  </si>
  <si>
    <t>M11-04</t>
  </si>
  <si>
    <t>zc_referral, zc_transition, zc_provider_participation, zc_provider_action. Identity ids never supplied; @Version on row_version; tenant_id and created_* not updatable; entities stay inside the service layer.</t>
  </si>
  <si>
    <t>mig-11; 04D §11; ADR-0002</t>
  </si>
  <si>
    <t>M11-05</t>
  </si>
  <si>
    <t>zc_provider_action: INSERT and SELECT only; a change is a new row (trigger and privilege already enforce it).</t>
  </si>
  <si>
    <t>M11-06</t>
  </si>
  <si>
    <t>M11-07</t>
  </si>
  <si>
    <t>ck_zc_referral_completion → completion needs provider or clinician confirmation; uq_zc_provider_participation_live → one live participation.</t>
  </si>
  <si>
    <t>M11-08</t>
  </si>
  <si>
    <t>Referral is a coordination record</t>
  </si>
  <si>
    <t>Never a clinical order; created → routed → accepted / declined → in_progress → completed / cancelled / expired.</t>
  </si>
  <si>
    <t>04A §7.7; mig-11</t>
  </si>
  <si>
    <t>M11-09</t>
  </si>
  <si>
    <t>Confirmation from identity</t>
  </si>
  <si>
    <t>Confirmation source derived from the caller's role, never a form field; care manager cannot record provider-confirmed.</t>
  </si>
  <si>
    <t>ADD A9; ZCR-REF-005</t>
  </si>
  <si>
    <t>M11-10</t>
  </si>
  <si>
    <t>Decline and routing</t>
  </si>
  <si>
    <t>Decline needs a reason; routing needs a receiving organisation or provider reference.</t>
  </si>
  <si>
    <t>mig-11</t>
  </si>
  <si>
    <t>M11-11</t>
  </si>
  <si>
    <t>Timeouts never close</t>
  </si>
  <si>
    <t>An overdue referral raises a task and stays open.</t>
  </si>
  <si>
    <t>04A §16</t>
  </si>
  <si>
    <t>M11-12</t>
  </si>
  <si>
    <t>Provider participation</t>
  </si>
  <si>
    <t>One live participation per programme version and organisation; actions appended; token org must match.</t>
  </si>
  <si>
    <t>ZCR-PRV-001..003; ADD A9</t>
  </si>
  <si>
    <t>M11-13</t>
  </si>
  <si>
    <t>ProviderPort and Portal adapter</t>
  </si>
  <si>
    <t>Signed provider callbacks for acceptance and outcome; timeouts and breaker; no contracting, payment or credentialing.</t>
  </si>
  <si>
    <t>04B §13–14; ZCR-PRV-004</t>
  </si>
  <si>
    <t>M11-14</t>
  </si>
  <si>
    <t>Transitions</t>
  </si>
  <si>
    <t>notified → in_progress → completed / cancelled (scope "Could", confirm before building).</t>
  </si>
  <si>
    <t>BE, PO</t>
  </si>
  <si>
    <t>ZCR-REF-006</t>
  </si>
  <si>
    <t>M11-15</t>
  </si>
  <si>
    <t>POST /referrals, POST /referrals/{id}:record-outcome</t>
  </si>
  <si>
    <t>Care manager or provider coordinator; consent-gated.</t>
  </si>
  <si>
    <t>M11-16</t>
  </si>
  <si>
    <t>POST /provider-actions and provider callback webhook</t>
  </si>
  <si>
    <t>Provider coordinator, own organisation only.</t>
  </si>
  <si>
    <t>04B §10, §14</t>
  </si>
  <si>
    <t>M11-17</t>
  </si>
  <si>
    <t>ReferralCreated, ReferralAccepted, ReferralCompleted, ProviderActionRecorded</t>
  </si>
  <si>
    <t>M11-18</t>
  </si>
  <si>
    <t>S-11 Referrals Board and provider queue</t>
  </si>
  <si>
    <t>"Unconfirmed" and "Undelivered" badges; completion only on authorised confirmation; providers see own organisation only.</t>
  </si>
  <si>
    <t>04C S-11</t>
  </si>
  <si>
    <t>M11-19</t>
  </si>
  <si>
    <t>M11-20</t>
  </si>
  <si>
    <t>M11-21</t>
  </si>
  <si>
    <t>M11-22</t>
  </si>
  <si>
    <t>M11-23</t>
  </si>
  <si>
    <t>Completion rules</t>
  </si>
  <si>
    <t>Care manager completion refused; clinician or provider completes; other-organisation provider 403.</t>
  </si>
  <si>
    <t>UAT-24</t>
  </si>
  <si>
    <t>M11-24</t>
  </si>
  <si>
    <t>M11-25</t>
  </si>
  <si>
    <t>package-info (owned tables), docs/database/migration-plan.md, docs/architecture/overview.md, traceability rows for ZCR-REF-001..006, ZCR-PRV-001..004.</t>
  </si>
  <si>
    <t>M11-26</t>
  </si>
  <si>
    <t>M11-27</t>
  </si>
  <si>
    <t>Evidence of Journeys 9 and 14 (provider accepts and completes) under docs/demo/evidence/ with screenshots.</t>
  </si>
  <si>
    <t>M11-28</t>
  </si>
  <si>
    <t>A referral closes only on provider or clinician confirmation; a member's own report never closes it. Shown end to end (server and screens) at the sprint demo.</t>
  </si>
  <si>
    <t>M11-29</t>
  </si>
  <si>
    <t>M11-30</t>
  </si>
  <si>
    <t>Release v0.11.0 tagged</t>
  </si>
  <si>
    <t>Annotated tag v0.11.0 from a green pipeline; CHANGELOG section dated; next SNAPSHOT set. Dashboard now shows 100%.</t>
  </si>
  <si>
    <t>M12 · Medication Coordination</t>
  </si>
  <si>
    <t>Help members get refills on time, without prescribing or dispensing.</t>
  </si>
  <si>
    <t>domains.medication: zc_medication_coordination, zc_refill_request, zc_adherence_event (mig-12)</t>
  </si>
  <si>
    <t>Depends on M11 · Sprints S26 · Screens S-05 · Release v0.12.0</t>
  </si>
  <si>
    <t>M12-01</t>
  </si>
  <si>
    <t>Confirm M11 is signed off</t>
  </si>
  <si>
    <t>Dashboard shows M11 at 100% and its Gate out rows are Done. Do not start this sheet before that.</t>
  </si>
  <si>
    <t>M12-02</t>
  </si>
  <si>
    <t>PRD §8.9, §10.9; 04A §7.8; 04B §10, §21; 04C S-05, W-4; ADD A2, D; mig-12.</t>
  </si>
  <si>
    <t>M12-03</t>
  </si>
  <si>
    <t>zc_medication_coordination, zc_refill_request, zc_adherence_event. Identity ids never supplied; @Version on row_version; tenant_id and created_* not updatable; entities stay inside the service layer.</t>
  </si>
  <si>
    <t>mig-12; 04D §11; ADR-0002</t>
  </si>
  <si>
    <t>M12-04</t>
  </si>
  <si>
    <t>M12-05</t>
  </si>
  <si>
    <t>ck_zc_refill_confirmed_requires_authorised_source → ZCARE_FULFILMENT_SOURCE_REQUIRED; uq_zc_refill_one_open → ZCARE_REFILL_DUPLICATE (INFO, open the existing request).</t>
  </si>
  <si>
    <t>M12-06</t>
  </si>
  <si>
    <t>Reference the provider's plan only</t>
  </si>
  <si>
    <t>plan_ref and plan_ref_system; never prescribe, alter, approve, dispense or manage stock.</t>
  </si>
  <si>
    <t>ZCR-MED-004</t>
  </si>
  <si>
    <t>M12-07</t>
  </si>
  <si>
    <t>Refill lifecycle</t>
  </si>
  <si>
    <t>requested → routed → in_progress → concluded / cancelled; one open refill per plan.</t>
  </si>
  <si>
    <t>mig-12</t>
  </si>
  <si>
    <t>M12-08</t>
  </si>
  <si>
    <t>Member-reported is never confirmed</t>
  </si>
  <si>
    <t>Pilot records member_reported only; confirmed needs a pharmacy or provider source.</t>
  </si>
  <si>
    <t>DEC-006; ADD D</t>
  </si>
  <si>
    <t>M12-09</t>
  </si>
  <si>
    <t>Overdue job</t>
  </si>
  <si>
    <t>Sets is_overdue independently of status; feeds the REFILL_MISSED gap rule in M14.</t>
  </si>
  <si>
    <t>RM BE-M12; UAT-27</t>
  </si>
  <si>
    <t>M12-10</t>
  </si>
  <si>
    <t>Adherence and medication review</t>
  </si>
  <si>
    <t>Adherence events with their source; "raise medication review" creates a clinician task.</t>
  </si>
  <si>
    <t>PRD §8.9; 04C S-05</t>
  </si>
  <si>
    <t>M12-11</t>
  </si>
  <si>
    <t>Exit cancels refills</t>
  </si>
  <si>
    <t>Enrolment exit cancels open refill requests with the truthful label.</t>
  </si>
  <si>
    <t>ADD A2</t>
  </si>
  <si>
    <t>M12-12</t>
  </si>
  <si>
    <t>POST /refill-requests, POST /refill-requests/{id}:record-fulfilment</t>
  </si>
  <si>
    <t>Care manager (member via WhatsApp from M15); consent-gated.</t>
  </si>
  <si>
    <t>M12-13</t>
  </si>
  <si>
    <t>RefillRequested, RefillFulfilled</t>
  </si>
  <si>
    <t>RefillFulfilled carries confirmationSource.</t>
  </si>
  <si>
    <t>M12-14</t>
  </si>
  <si>
    <t>S-05 Medication &amp; Refill</t>
  </si>
  <si>
    <t>No "Confirmed" control; locked "Member-reported" badge; source text on every fulfilment; overdue shown.</t>
  </si>
  <si>
    <t>04C S-05</t>
  </si>
  <si>
    <t>M12-15</t>
  </si>
  <si>
    <t>M12-16</t>
  </si>
  <si>
    <t>M12-17</t>
  </si>
  <si>
    <t>M12-18</t>
  </si>
  <si>
    <t>M12-19</t>
  </si>
  <si>
    <t>Fulfilment rules</t>
  </si>
  <si>
    <t>Database rejects confirmed without an authorised source; duplicate gives INFO; overdue flagged; exit cancels.</t>
  </si>
  <si>
    <t>UAT-22, UAT-23</t>
  </si>
  <si>
    <t>M12-20</t>
  </si>
  <si>
    <t>M12-21</t>
  </si>
  <si>
    <t>package-info (owned tables), docs/database/migration-plan.md, docs/architecture/overview.md, traceability rows for ZCR-MED-001..004.</t>
  </si>
  <si>
    <t>M12-22</t>
  </si>
  <si>
    <t>M12-23</t>
  </si>
  <si>
    <t>Evidence of Journey 10 (request and track a refill) under docs/demo/evidence/ with screenshots.</t>
  </si>
  <si>
    <t>M12-24</t>
  </si>
  <si>
    <t>A refill is "confirmed" only by a pharmacy or provider, and the database enforces it. Shown end to end (server and screens) at the sprint demo.</t>
  </si>
  <si>
    <t>M12-25</t>
  </si>
  <si>
    <t>M12-26</t>
  </si>
  <si>
    <t>Release v0.12.0 tagged</t>
  </si>
  <si>
    <t>Annotated tag v0.12.0 from a green pipeline; CHANGELOG section dated; next SNAPSHOT set. Dashboard now shows 100%.</t>
  </si>
  <si>
    <t>M13 · Observation &amp; Monitoring</t>
  </si>
  <si>
    <t>Record key readings and send any reading over a limit to a clinician.</t>
  </si>
  <si>
    <t>domains.observation: zc_monitoring_schedule, zc_observation (mig-13)</t>
  </si>
  <si>
    <t>Depends on M12 · Sprints S27–S28 · Screens S-10, S-14 · Release v0.13.0</t>
  </si>
  <si>
    <t>M13-01</t>
  </si>
  <si>
    <t>Confirm M12 is signed off</t>
  </si>
  <si>
    <t>Dashboard shows M12 at 100% and its Gate out rows are Done. Do not start this sheet before that.</t>
  </si>
  <si>
    <t>M13-02</t>
  </si>
  <si>
    <t>PRD §8.10, §10.8; 04A §7.9, INV-6; 04B §10; 04C S-10, S-14, W-5; ADD A8; mig-13.</t>
  </si>
  <si>
    <t>M13-03</t>
  </si>
  <si>
    <t>Open Decisions sheet: OD-17, OD-26 marked Decided, with the ADR or doc that records each.</t>
  </si>
  <si>
    <t>M13-04</t>
  </si>
  <si>
    <t>zc_monitoring_schedule, zc_observation. Identity ids never supplied; @Version on row_version; tenant_id and created_* not updatable; entities stay inside the service layer.</t>
  </si>
  <si>
    <t>mig-13; 04D §11; ADR-0002</t>
  </si>
  <si>
    <t>M13-05</t>
  </si>
  <si>
    <t>M13-06</t>
  </si>
  <si>
    <t>trg_zc_observation_correction_only → readings never edited, only invalidated; missing thresholds → ZCARE_THRESHOLD_RULES_MISSING.</t>
  </si>
  <si>
    <t>M13-07</t>
  </si>
  <si>
    <t>Programme-required observations only</t>
  </si>
  <si>
    <t>Type must belong to the enrolment's programme version; unit fixed by the type (UCUM).</t>
  </si>
  <si>
    <t>04A INV-6; mig-13</t>
  </si>
  <si>
    <t>M13-08</t>
  </si>
  <si>
    <t>Plausibility</t>
  </si>
  <si>
    <t>Values outside plausible range stored as implausible, excluded from trends, and raise a care-manager task.</t>
  </si>
  <si>
    <t>04C W-5</t>
  </si>
  <si>
    <t>M13-09</t>
  </si>
  <si>
    <t>Invalidate, never edit</t>
  </si>
  <si>
    <t>Invalidation needs a reason, is final, and reopens dependent gap closures.</t>
  </si>
  <si>
    <t>ZCR-OBS-002; 04D §20</t>
  </si>
  <si>
    <t>M13-10</t>
  </si>
  <si>
    <t>Threshold evaluation</t>
  </si>
  <si>
    <t>In range: stored quietly. Breach: priority-1 THRESHOLD_REVIEW clinician task, event, and ZCARE_THRESHOLD_REVIEW_REQUIRED ("not a diagnosis").</t>
  </si>
  <si>
    <t>ADD A8; ZCR-OBS-003</t>
  </si>
  <si>
    <t>M13-11</t>
  </si>
  <si>
    <t>Monitoring schedules</t>
  </si>
  <si>
    <t>Cadence per type; missing scheduled readings flagged.</t>
  </si>
  <si>
    <t>PRD §8.10</t>
  </si>
  <si>
    <t>M13-12</t>
  </si>
  <si>
    <t>Deduplication and trend view</t>
  </si>
  <si>
    <t>Dedup on type, time and source; consent-protected trend view.</t>
  </si>
  <si>
    <t>04D §18; RM BE-M13</t>
  </si>
  <si>
    <t>M13-13</t>
  </si>
  <si>
    <t>POST /observations</t>
  </si>
  <si>
    <t>Care manager or clinician; consent-gated.</t>
  </si>
  <si>
    <t>M13-14</t>
  </si>
  <si>
    <t>Invalidate and threshold-decision endpoints</t>
  </si>
  <si>
    <t>Define in 04B first.</t>
  </si>
  <si>
    <t>M13-15</t>
  </si>
  <si>
    <t>ObservationCaptured, ThresholdReviewRequired</t>
  </si>
  <si>
    <t>M13-16</t>
  </si>
  <si>
    <t>S-10 Observations &amp; Trends</t>
  </si>
  <si>
    <t>Units as selects; "Member-reported" and "Not evaluated" badges; implausible values excluded from the trend.</t>
  </si>
  <si>
    <t>04C S-10</t>
  </si>
  <si>
    <t>M13-17</t>
  </si>
  <si>
    <t>S-14 Threshold-Review Queue</t>
  </si>
  <si>
    <t>Elapsed time; text summary with a hidden sparkline; record decision, invalidate, raise task, refer.</t>
  </si>
  <si>
    <t>04C S-14</t>
  </si>
  <si>
    <t>M13-18</t>
  </si>
  <si>
    <t>M13-19</t>
  </si>
  <si>
    <t>M13-20</t>
  </si>
  <si>
    <t>M13-21</t>
  </si>
  <si>
    <t>M13-22</t>
  </si>
  <si>
    <t>Threshold cases</t>
  </si>
  <si>
    <t>HbA1c 9.1 raises the review task; 7.2 is stored with no escalation.</t>
  </si>
  <si>
    <t>UAT-20, UAT-21</t>
  </si>
  <si>
    <t>M13-23</t>
  </si>
  <si>
    <t>M13-24</t>
  </si>
  <si>
    <t>package-info (owned tables), docs/database/migration-plan.md, docs/architecture/overview.md, traceability rows for ZCR-OBS-001..004.</t>
  </si>
  <si>
    <t>M13-25</t>
  </si>
  <si>
    <t>M13-26</t>
  </si>
  <si>
    <t>Evidence of Journey 11 (clinician reviews a flagged reading) under docs/demo/evidence/ with screenshots.</t>
  </si>
  <si>
    <t>M13-27</t>
  </si>
  <si>
    <t>A reading over the limit always creates a clinician review. Shown end to end (server and screens) at the sprint demo.</t>
  </si>
  <si>
    <t>M13-28</t>
  </si>
  <si>
    <t>Code review with a named reviewer for security-sensitive code; clinical review of thresholds (Aga Khan).</t>
  </si>
  <si>
    <t>M13-29</t>
  </si>
  <si>
    <t>Release v0.13.0 tagged</t>
  </si>
  <si>
    <t>Annotated tag v0.13.0 from a green pipeline; CHANGELOG section dated; next SNAPSHOT set. Dashboard now shows 100%.</t>
  </si>
  <si>
    <t>M14 · Care Gaps</t>
  </si>
  <si>
    <t>Spot missed care automatically, explain it, and turn it into work.</t>
  </si>
  <si>
    <t>domains.caregap: zc_care_gap (mig-14)</t>
  </si>
  <si>
    <t>Depends on M13 · Sprints S29–S30 · Screens S-04 · Release v0.14.0</t>
  </si>
  <si>
    <t>M14-01</t>
  </si>
  <si>
    <t>Confirm M13 is signed off</t>
  </si>
  <si>
    <t>Dashboard shows M13 at 100% and its Gate out rows are Done. Do not start this sheet before that.</t>
  </si>
  <si>
    <t>M14-02</t>
  </si>
  <si>
    <t>PRD §8.11; 04A §7.10, INV-5, §22.3; 04B §10; 04C S-04; ADD C1–C2, D; mig-14.</t>
  </si>
  <si>
    <t>M14-03</t>
  </si>
  <si>
    <t>Open Decisions sheet: OD-21 marked Decided, with the ADR or doc that records each.</t>
  </si>
  <si>
    <t>M14-04</t>
  </si>
  <si>
    <t>zc_care_gap. Identity ids never supplied; @Version on row_version; tenant_id and created_* not updatable; entities stay inside the service layer.</t>
  </si>
  <si>
    <t>mig-14; 04D §11; ADR-0002</t>
  </si>
  <si>
    <t>M14-05</t>
  </si>
  <si>
    <t>M14-06</t>
  </si>
  <si>
    <t>uq_zc_care_gap_dedup → ZCARE_GAP_DUPLICATE (INFO); ck_zc_care_gap_action_reason → ZCARE_GAP_SUPPRESS_REASON_REQUIRED; role gate → ZCARE_GAP_ACTION_RESTRICTED.</t>
  </si>
  <si>
    <t>M14-07</t>
  </si>
  <si>
    <t>Deterministic rule evaluator</t>
  </si>
  <si>
    <t>Versioned gap rules from the programme version; no AI.</t>
  </si>
  <si>
    <t>ZCR-GAP-001; 04E §1</t>
  </si>
  <si>
    <t>M14-08</t>
  </si>
  <si>
    <t>GapKey deduplication</t>
  </si>
  <si>
    <t>(member, programme version, gap type, period); a repeat detection is absorbed.</t>
  </si>
  <si>
    <t>04A INV-5</t>
  </si>
  <si>
    <t>M14-09</t>
  </si>
  <si>
    <t>Explainable gaps</t>
  </si>
  <si>
    <t>Rule version, reason and evaluated data stored on every gap.</t>
  </si>
  <si>
    <t>ZCR-GAP-002</t>
  </si>
  <si>
    <t>M14-10</t>
  </si>
  <si>
    <t>Scheduled detection job</t>
  </si>
  <si>
    <t>Runs per tenant; includes the REFILL_MISSED rule.</t>
  </si>
  <si>
    <t>RM BE-M14; UAT-27</t>
  </si>
  <si>
    <t>M14-11</t>
  </si>
  <si>
    <t>Gaps become work</t>
  </si>
  <si>
    <t>Assigned gap links a task for the same member; optional outreach request.</t>
  </si>
  <si>
    <t>PRD §8.11</t>
  </si>
  <si>
    <t>M14-12</t>
  </si>
  <si>
    <t>Suppress, close, reopen</t>
  </si>
  <si>
    <t>Authorised role and reason; no batch suppression; close only on approved evidence; reopen reuses the row.</t>
  </si>
  <si>
    <t>ZCR-GAP-004/005; ADD D; 04D §9.2</t>
  </si>
  <si>
    <t>M14-13</t>
  </si>
  <si>
    <t>POST /care-gaps/{id}:suppress, POST /care-gaps/{id}:close</t>
  </si>
  <si>
    <t>Authorised care manager with a reason; consent-gated.</t>
  </si>
  <si>
    <t>M14-14</t>
  </si>
  <si>
    <t>CareGapDetected, CareGapClosed</t>
  </si>
  <si>
    <t>Detected carries rule version, reason and evaluated data.</t>
  </si>
  <si>
    <t>04B §12; 04A §22.3</t>
  </si>
  <si>
    <t>M14-15</t>
  </si>
  <si>
    <t>S-04 Care Gaps board</t>
  </si>
  <si>
    <t>Rule version, reason and data shown; role-gated suppression with ReasonDialog; suppressed tab keeps gaps visible.</t>
  </si>
  <si>
    <t>04C S-04</t>
  </si>
  <si>
    <t>M14-16</t>
  </si>
  <si>
    <t>M14-17</t>
  </si>
  <si>
    <t>M14-18</t>
  </si>
  <si>
    <t>M14-19</t>
  </si>
  <si>
    <t>M14-20</t>
  </si>
  <si>
    <t>Detection is idempotent and explained</t>
  </si>
  <si>
    <t>Two runs, one gap; every gap has its reason; suppress without reason impossible.</t>
  </si>
  <si>
    <t>UAT-06..08</t>
  </si>
  <si>
    <t>M14-21</t>
  </si>
  <si>
    <t>M14-22</t>
  </si>
  <si>
    <t>package-info (owned tables), docs/database/migration-plan.md, docs/architecture/overview.md, traceability rows for ZCR-GAP-001..005.</t>
  </si>
  <si>
    <t>M14-23</t>
  </si>
  <si>
    <t>M14-24</t>
  </si>
  <si>
    <t>Evidence of Journey 12 (gap found, worked and closed) under docs/demo/evidence/ with screenshots.</t>
  </si>
  <si>
    <t>M14-25</t>
  </si>
  <si>
    <t>Each gap shows why it was raised, and running the check twice never creates duplicates. Shown end to end (server and screens) at the sprint demo.</t>
  </si>
  <si>
    <t>M14-26</t>
  </si>
  <si>
    <t>M14-27</t>
  </si>
  <si>
    <t>Release v0.14.0 tagged</t>
  </si>
  <si>
    <t>Annotated tag v0.14.0 from a green pipeline; CHANGELOG section dated; next SNAPSHOT set. Dashboard now shows 100%.</t>
  </si>
  <si>
    <t>M15 · Engagement &amp; Outreach</t>
  </si>
  <si>
    <t>Contact members on WhatsApp for reminders, questionnaires and consent, and honour STOP immediately.</t>
  </si>
  <si>
    <t>domains.engagement: zc_outreach_request, zc_outreach_delivery, zc_inbound_message (mig-15)</t>
  </si>
  <si>
    <t>Depends on M14 · Sprints S31–S34 · Screens S-12, W-1–W-6 · Release v0.15.0</t>
  </si>
  <si>
    <t>M15-01</t>
  </si>
  <si>
    <t>Confirm M14 is signed off</t>
  </si>
  <si>
    <t>Dashboard shows M14 at 100% and its Gate out rows are Done. Do not start this sheet before that.</t>
  </si>
  <si>
    <t>M15-02</t>
  </si>
  <si>
    <t>PRD §8.12; 04A §7.11, §16, §22.1; 04B §13–14; 04C S-12, §7.10 (W-1–W-6); ADD A5, B, D; mig-15.</t>
  </si>
  <si>
    <t>M15-03</t>
  </si>
  <si>
    <t>Open Decisions sheet: OD-13, OD-22, OD-24 marked Decided, with the ADR or doc that records each.</t>
  </si>
  <si>
    <t>M15-04</t>
  </si>
  <si>
    <t>zc_outreach_request, zc_outreach_delivery, zc_inbound_message. Identity ids never supplied; @Version on row_version; tenant_id and created_* not updatable; entities stay inside the service layer.</t>
  </si>
  <si>
    <t>mig-15; 04D §11; ADR-0002</t>
  </si>
  <si>
    <t>M15-05</t>
  </si>
  <si>
    <t>M15-06</t>
  </si>
  <si>
    <t>uq_zc_inbound_message_dedup → webhook redelivery absorbed; frequency limit → ZCARE_OUTREACH_FREQUENCY_EXCEEDED with the next permissible date.</t>
  </si>
  <si>
    <t>M15-07</t>
  </si>
  <si>
    <t>Outreach request</t>
  </si>
  <si>
    <t>Purpose and content class; health content needs an enrolment; requested → queued → held → dispatched → delivered → completed (or failed, cancelled, suppressed).</t>
  </si>
  <si>
    <t>mig-15</t>
  </si>
  <si>
    <t>M15-08</t>
  </si>
  <si>
    <t>Hold rules</t>
  </si>
  <si>
    <t>Hold outside quiet hours or over the frequency limit; return the next permissible date.</t>
  </si>
  <si>
    <t>ZCR-OUT-003; RM BE-M15</t>
  </si>
  <si>
    <t>M15-09</t>
  </si>
  <si>
    <t>Consent checked at the moment of sending</t>
  </si>
  <si>
    <t>Dispatch re-checks consent and preferences; withdrawal always wins.</t>
  </si>
  <si>
    <t>04D §9.4; 04A §22.3</t>
  </si>
  <si>
    <t>M15-10</t>
  </si>
  <si>
    <t>OutreachPort and WhatsApp adapter</t>
  </si>
  <si>
    <t>Meta Cloud API; 24-hour window and templates; wamid is the idempotency key; each retry a new delivery row.</t>
  </si>
  <si>
    <t>04B §13</t>
  </si>
  <si>
    <t>M15-11</t>
  </si>
  <si>
    <t>Signed inbound webhook</t>
  </si>
  <si>
    <t>HMAC-SHA256 verified; tenant from the phone number id; invalid → 401, security event, no change.</t>
  </si>
  <si>
    <t>04B §14</t>
  </si>
  <si>
    <t>M15-12</t>
  </si>
  <si>
    <t>Reply interpretation</t>
  </si>
  <si>
    <t>Opt-in, opt-out, ambiguous opt-out, decline, assessment answer, refill reply, task reply; unclear replies go to a person.</t>
  </si>
  <si>
    <t>mig-15; ADD B</t>
  </si>
  <si>
    <t>M15-13</t>
  </si>
  <si>
    <t>Exact STOP</t>
  </si>
  <si>
    <t>Suppress first; withdraw; revoke with verbatim; cancel pending work; exactly one confirmation; SAFE_EXIT task; never re-persuade.</t>
  </si>
  <si>
    <t>ADD A5, D; 04C W-6</t>
  </si>
  <si>
    <t>M15-14</t>
  </si>
  <si>
    <t>Ambiguous opt-out</t>
  </si>
  <si>
    <t>Suppress all outreach, keep enrolment, raise priority-1 CONFIRM_OPT_OUT task.</t>
  </si>
  <si>
    <t>ADD A5</t>
  </si>
  <si>
    <t>M15-15</t>
  </si>
  <si>
    <t>Conversations W-1 to W-5</t>
  </si>
  <si>
    <t>Condition-neutral invitation; task acknowledgement; assessment one question at a time; refill; observation echo-confirm.</t>
  </si>
  <si>
    <t>04C §7.10</t>
  </si>
  <si>
    <t>M15-16</t>
  </si>
  <si>
    <t>ZHEP adapter, switched off</t>
  </si>
  <si>
    <t>Built behind a flag that defaults to off.</t>
  </si>
  <si>
    <t>RM BE-M15; STD RES-06</t>
  </si>
  <si>
    <t>M15-17</t>
  </si>
  <si>
    <t>Failed outreach creates follow-up work</t>
  </si>
  <si>
    <t>Failed or incomplete outreach raises a task.</t>
  </si>
  <si>
    <t>PRD §8.12</t>
  </si>
  <si>
    <t>M15-18</t>
  </si>
  <si>
    <t>POST /outreach-requests and WhatsApp webhook</t>
  </si>
  <si>
    <t>Care manager; consent-gated; webhook verified and deduplicated.</t>
  </si>
  <si>
    <t>M15-19</t>
  </si>
  <si>
    <t>OutreachRequested, OutreachDelivered, OutreachFailed, OutreachCompleted</t>
  </si>
  <si>
    <t>Via the outbox; delivery receipts consumed through the inbox.</t>
  </si>
  <si>
    <t>M15-20</t>
  </si>
  <si>
    <t>S-12 Outreach Log &amp; Composer</t>
  </si>
  <si>
    <t>"Pending template" and "Undelivered" badges; consent scope; next permissible date; message previews.</t>
  </si>
  <si>
    <t>04C S-12</t>
  </si>
  <si>
    <t>M15-21</t>
  </si>
  <si>
    <t>Unclear-STOP queue</t>
  </si>
  <si>
    <t>Care-manager queue for ambiguous opt-outs.</t>
  </si>
  <si>
    <t>RM FE-M15</t>
  </si>
  <si>
    <t>M15-22</t>
  </si>
  <si>
    <t>M15-23</t>
  </si>
  <si>
    <t>M15-24</t>
  </si>
  <si>
    <t>M15-25</t>
  </si>
  <si>
    <t>M15-26</t>
  </si>
  <si>
    <t>STOP and race tests</t>
  </si>
  <si>
    <t>STOP during a pending send: nothing is sent; ambiguous STOP suppresses but keeps enrolment.</t>
  </si>
  <si>
    <t>UAT-10, UAT-11</t>
  </si>
  <si>
    <t>M15-27</t>
  </si>
  <si>
    <t>Webhook tests</t>
  </si>
  <si>
    <t>Forged signature rejected; redelivery absorbed; placeholder copy marked until Privacy approval.</t>
  </si>
  <si>
    <t>UAT-16; RM R5</t>
  </si>
  <si>
    <t>M15-28</t>
  </si>
  <si>
    <t>M15-29</t>
  </si>
  <si>
    <t>package-info (owned tables), docs/database/migration-plan.md, docs/architecture/overview.md, traceability rows for ZCR-OUT-001..004, ZCR-MED-001.</t>
  </si>
  <si>
    <t>M15-30</t>
  </si>
  <si>
    <t>M15-31</t>
  </si>
  <si>
    <t>Evidence of Journeys 13 and 20 (reminder sent; STOP stops all contact) under docs/demo/evidence/ with screenshots.</t>
  </si>
  <si>
    <t>M15-32</t>
  </si>
  <si>
    <t>"STOP" halts all contact straight away, and a consent withdrawal always wins over a message about to be sent. Shown end to end (server and screens) at the sprint demo.</t>
  </si>
  <si>
    <t>M15-33</t>
  </si>
  <si>
    <t>Code review with a named reviewer for security-sensitive code; Privacy approval of all member-facing wording.</t>
  </si>
  <si>
    <t>M15-34</t>
  </si>
  <si>
    <t>Release v0.15.0 tagged</t>
  </si>
  <si>
    <t>Annotated tag v0.15.0 from a green pipeline; CHANGELOG section dated; next SNAPSHOT set. Dashboard now shows 100%.</t>
  </si>
  <si>
    <t>M16 · Outcomes &amp; Proof</t>
  </si>
  <si>
    <t>Show results to payers and employers as totals only, hidden when the group is too small.</t>
  </si>
  <si>
    <t>domains.outcome: zc_outcome_observation, zc_report_snapshot (mig-16)</t>
  </si>
  <si>
    <t>Depends on M15 · Sprints S35–S36 · Screens S-17 · Release v0.16.0</t>
  </si>
  <si>
    <t>M16-01</t>
  </si>
  <si>
    <t>Confirm M15 is signed off</t>
  </si>
  <si>
    <t>Dashboard shows M15 at 100% and its Gate out rows are Done. Do not start this sheet before that.</t>
  </si>
  <si>
    <t>M16-02</t>
  </si>
  <si>
    <t>PRD §8.13, §12.7, §15; 04A INV-8; 04B §10–11; 04C S-17; ADD A7; ADR-008/009; mig-16.</t>
  </si>
  <si>
    <t>M16-03</t>
  </si>
  <si>
    <t>zc_outcome_observation, zc_report_snapshot. Identity ids never supplied; @Version on row_version; tenant_id and created_* not updatable; entities stay inside the service layer.</t>
  </si>
  <si>
    <t>mig-16; 04D §11; ADR-0002</t>
  </si>
  <si>
    <t>M16-04</t>
  </si>
  <si>
    <t>zc_report_snapshot: INSERT and SELECT only; a change is a new row (trigger and privilege already enforce it).</t>
  </si>
  <si>
    <t>M16-05</t>
  </si>
  <si>
    <t>M16-06</t>
  </si>
  <si>
    <t>ck_zc_report_employer_threshold → employer report needs a threshold; below threshold → ZCARE_AGGREGATE_THRESHOLD_NOT_MET (WARNING).</t>
  </si>
  <si>
    <t>M16-07</t>
  </si>
  <si>
    <t>Record outcomes against definitions</t>
  </si>
  <si>
    <t>Measure code and version from the programme; the 10 founding measures.</t>
  </si>
  <si>
    <t>ZCR-OCM-001; ADR-008</t>
  </si>
  <si>
    <t>M16-08</t>
  </si>
  <si>
    <t>Evidence classes kept apart</t>
  </si>
  <si>
    <t>Activity, participation, operational, clinical, financial association, attributed impact; correlation is never called impact; no savings claims.</t>
  </si>
  <si>
    <t>ZCR-OCM-002, OCM-004</t>
  </si>
  <si>
    <t>M16-09</t>
  </si>
  <si>
    <t>Report snapshots per audience</t>
  </si>
  <si>
    <t>Internal, payer, provider, employer_aggregate; frozen figures with measure version.</t>
  </si>
  <si>
    <t>mig-16</t>
  </si>
  <si>
    <t>M16-10</t>
  </si>
  <si>
    <t>Employer floor n ≥ 10 in code</t>
  </si>
  <si>
    <t>Configuration may only raise it; withheld measures listed, never rounded or approximated; complementary suppression.</t>
  </si>
  <si>
    <t>ADD A7; ADR-009</t>
  </si>
  <si>
    <t>M16-11</t>
  </si>
  <si>
    <t>Employer sees aggregates only</t>
  </si>
  <si>
    <t>No member-level route for the employer role; audience tied to role.</t>
  </si>
  <si>
    <t>04A INV-8; ZCR-PRI-002</t>
  </si>
  <si>
    <t>M16-12</t>
  </si>
  <si>
    <t>Incomplete data and caveats</t>
  </si>
  <si>
    <t>Incomplete figures flagged with a reason; admin adds caveats before publishing.</t>
  </si>
  <si>
    <t>ZCR-OCM-005; 04C J15</t>
  </si>
  <si>
    <t>M16-13</t>
  </si>
  <si>
    <t>POST /outcomes:record, GET /programmes/{id}/proof</t>
  </si>
  <si>
    <t>Programme admin records; proof is audience-filtered.</t>
  </si>
  <si>
    <t>M16-14</t>
  </si>
  <si>
    <t>OutcomeRecorded</t>
  </si>
  <si>
    <t>M16-15</t>
  </si>
  <si>
    <t>S-17 Reports &amp; Programme Proof</t>
  </si>
  <si>
    <t>Withheld cells explained; measure version on every figure; "correlation" label; "Incomplete data" badge.</t>
  </si>
  <si>
    <t>04C S-17</t>
  </si>
  <si>
    <t>M16-16</t>
  </si>
  <si>
    <t>M16-17</t>
  </si>
  <si>
    <t>M16-18</t>
  </si>
  <si>
    <t>M16-19</t>
  </si>
  <si>
    <t>Employer boundary suite</t>
  </si>
  <si>
    <t>n &lt; 10 withheld; employer asking for payer audience gets 403; no individual data in any employer response.</t>
  </si>
  <si>
    <t>UAT-12..14; 04F §18</t>
  </si>
  <si>
    <t>M16-20</t>
  </si>
  <si>
    <t>M16-21</t>
  </si>
  <si>
    <t>package-info (owned tables), docs/database/migration-plan.md, docs/architecture/overview.md, traceability rows for ZCR-OCM-001..005, ZCR-PRI-002.</t>
  </si>
  <si>
    <t>M16-22</t>
  </si>
  <si>
    <t>M16-23</t>
  </si>
  <si>
    <t>Evidence of Journeys 15 and 16 (small group withheld on the employer view) under docs/demo/evidence/ with screenshots.</t>
  </si>
  <si>
    <t>M16-24</t>
  </si>
  <si>
    <t>Employers never see individuals, and groups under 10 are withheld, never estimated. Shown end to end (server and screens) at the sprint demo.</t>
  </si>
  <si>
    <t>M16-25</t>
  </si>
  <si>
    <t>Code review with a named reviewer for security-sensitive code; Privacy confirmation of the threshold.</t>
  </si>
  <si>
    <t>M16-26</t>
  </si>
  <si>
    <t>Release v0.16.0 tagged</t>
  </si>
  <si>
    <t>Annotated tag v0.16.0 from a green pipeline; CHANGELOG section dated; next SNAPSHOT set. Dashboard now shows 100%.</t>
  </si>
  <si>
    <t>M17 · Audit &amp; Security</t>
  </si>
  <si>
    <t>Give administrators a tamper-proof history of activity, and harden security.</t>
  </si>
  <si>
    <t>domains.audit: zc_domain_audit, zc_security_event (mig-18)</t>
  </si>
  <si>
    <t>Depends on M16 · Sprints S37–S38 · Screens S-20 · Release v0.17.0</t>
  </si>
  <si>
    <t>M17-01</t>
  </si>
  <si>
    <t>Confirm M16 is signed off</t>
  </si>
  <si>
    <t>Dashboard shows M16 at 100% and its Gate out rows are Done. Do not start this sheet before that.</t>
  </si>
  <si>
    <t>M17-02</t>
  </si>
  <si>
    <t>PRD §9.2, §9.8, §9.12; 04A INV-7; 04B §5, §11, §18; 04C S-20; 04D §11; mig-18.</t>
  </si>
  <si>
    <t>M17-03</t>
  </si>
  <si>
    <t>Open Decisions sheet: OD-15 marked Decided, with the ADR or doc that records each.</t>
  </si>
  <si>
    <t>M17-04</t>
  </si>
  <si>
    <t>zc_domain_audit, zc_security_event. Identity ids never supplied; @Version on row_version; tenant_id and created_* not updatable; entities stay inside the service layer.</t>
  </si>
  <si>
    <t>mig-18; 04D §11; ADR-0002</t>
  </si>
  <si>
    <t>M17-05</t>
  </si>
  <si>
    <t>zc_domain_audit, zc_security_event: INSERT and SELECT only; a change is a new row (trigger and privilege already enforce it).</t>
  </si>
  <si>
    <t>M17-06</t>
  </si>
  <si>
    <t>M17-07</t>
  </si>
  <si>
    <t>Audit coverage review</t>
  </si>
  <si>
    <t>Every material write in M03–M16 writes an audit row with actor, operation, previous and new state, correlation id.</t>
  </si>
  <si>
    <t>ZCR-AUD-001; 04A INV-7</t>
  </si>
  <si>
    <t>M17-08</t>
  </si>
  <si>
    <t>Fixed operation vocabulary</t>
  </si>
  <si>
    <t>The 26 approved operations; envelope auditTrail.operation uses the same values.</t>
  </si>
  <si>
    <t>04D §11; OD-15</t>
  </si>
  <si>
    <t>M17-09</t>
  </si>
  <si>
    <t>Audit query, metadata only</t>
  </si>
  <si>
    <t>Search by member, actor, entity, correlation id and dates; never clinical content; permitted roles only.</t>
  </si>
  <si>
    <t>04C S-20; PRD §9.8</t>
  </si>
  <si>
    <t>M17-10</t>
  </si>
  <si>
    <t>Audited export</t>
  </si>
  <si>
    <t>Every export writes an audit_export security event.</t>
  </si>
  <si>
    <t>M17-11</t>
  </si>
  <si>
    <t>Sign-in events</t>
  </si>
  <si>
    <t>Keycloak authentication success, failure and lockout recorded as security events.</t>
  </si>
  <si>
    <t>RM BE-M17; mig-18</t>
  </si>
  <si>
    <t>M17-12</t>
  </si>
  <si>
    <t>Security hardening</t>
  </si>
  <si>
    <t>Dependency and secret scanning in CI; OWASP ZAP baseline; penetration test; High/Critical findings fixed.</t>
  </si>
  <si>
    <t>SEC, OPS</t>
  </si>
  <si>
    <t>RM BE-M17; STD DEP-07, SEC-07</t>
  </si>
  <si>
    <t>M17-13</t>
  </si>
  <si>
    <t>GET /audit?filter[...] and export</t>
  </si>
  <si>
    <t>Permitted roles only.</t>
  </si>
  <si>
    <t>M17-14</t>
  </si>
  <si>
    <t>S-20 Audit Query and security events</t>
  </si>
  <si>
    <t>Metadata-only results; export logged; emergency-access banner.</t>
  </si>
  <si>
    <t>04C S-20; RM FE-M17</t>
  </si>
  <si>
    <t>M17-15</t>
  </si>
  <si>
    <t>M17-16</t>
  </si>
  <si>
    <t>M17-17</t>
  </si>
  <si>
    <t>M17-18</t>
  </si>
  <si>
    <t>Audit history suite</t>
  </si>
  <si>
    <t>Append-only by privilege and trigger; sweep proves every write is audited; no PHI in audit responses.</t>
  </si>
  <si>
    <t>04F §18; UAT-15</t>
  </si>
  <si>
    <t>M17-19</t>
  </si>
  <si>
    <t>M17-20</t>
  </si>
  <si>
    <t>package-info (owned tables), docs/database/migration-plan.md, docs/architecture/overview.md, traceability rows for ZCR-AUD-001, ZCR-SEC-001/002, ZCR-PRI-001, ZCR-DAT-001, ZCR-PRV-003.</t>
  </si>
  <si>
    <t>M17-21</t>
  </si>
  <si>
    <t>M17-22</t>
  </si>
  <si>
    <t>Evidence of Journey 17 (search history without seeing health data) under docs/demo/evidence/ with screenshots.</t>
  </si>
  <si>
    <t>M17-23</t>
  </si>
  <si>
    <t>History cannot be edited or deleted, and no serious security issue is open. Shown end to end (server and screens) at the sprint demo.</t>
  </si>
  <si>
    <t>M17-24</t>
  </si>
  <si>
    <t>Code review with a named reviewer for security-sensitive code; security review and penetration test sign-off.</t>
  </si>
  <si>
    <t>M17-25</t>
  </si>
  <si>
    <t>Release v0.17.0 tagged</t>
  </si>
  <si>
    <t>Annotated tag v0.17.0 from a green pipeline; CHANGELOG section dated; next SNAPSHOT set. Dashboard now shows 100%.</t>
  </si>
  <si>
    <t>M18 · Integration Persistence</t>
  </si>
  <si>
    <t>Every message to and from other systems is delivered, or clearly flagged if it fails.</t>
  </si>
  <si>
    <t>domains.integration: zc_idempotency_key, zc_integration_outbox, zc_integration_inbox, zc_dead_letter (mig-19)</t>
  </si>
  <si>
    <t>Depends on M17 · Sprints S39–S41 · Screens S-19 · Release v0.18.0</t>
  </si>
  <si>
    <t>M18-01</t>
  </si>
  <si>
    <t>Confirm M17 is signed off</t>
  </si>
  <si>
    <t>Dashboard shows M17 at 100% and its Gate out rows are Done. Do not start this sheet before that.</t>
  </si>
  <si>
    <t>M18-02</t>
  </si>
  <si>
    <t>PRD §10.2–10.5, §10.15; 04A §7.15, §22.4; 04B §7, §12–15; 04C S-19; 04D §17–18; ADD A10–A11; mig-19.</t>
  </si>
  <si>
    <t>M18-03</t>
  </si>
  <si>
    <t>Open Decisions sheet: OD-24, OD-25 marked Decided, with the ADR or doc that records each.</t>
  </si>
  <si>
    <t>M18-04</t>
  </si>
  <si>
    <t>zc_idempotency_key, zc_integration_outbox, zc_integration_inbox, zc_dead_letter. Identity ids never supplied; @Version on row_version; tenant_id and created_* not updatable; entities stay inside the service layer.</t>
  </si>
  <si>
    <t>mig-19; 04D §11; ADR-0002</t>
  </si>
  <si>
    <t>M18-05</t>
  </si>
  <si>
    <t>M18-06</t>
  </si>
  <si>
    <t>uq inbox (tenant, source, message id) → duplicate absorbed; uq_zc_idempotency_key → IDEMPOTENCY_KEY_CONFLICT.</t>
  </si>
  <si>
    <t>M18-07</t>
  </si>
  <si>
    <t>Outbox delivery job</t>
  </si>
  <si>
    <t>Per tenant (iterate the registry); FOR UPDATE SKIP LOCKED; bounded retry with jittered backoff; then dead letter.</t>
  </si>
  <si>
    <t>04D §17; RM trial M3</t>
  </si>
  <si>
    <t>M18-08</t>
  </si>
  <si>
    <t>Inbox processing</t>
  </si>
  <si>
    <t>Deduplicated on (tenant, source system, message id); idempotent handlers.</t>
  </si>
  <si>
    <t>04D §17</t>
  </si>
  <si>
    <t>M18-09</t>
  </si>
  <si>
    <t>Dead letters become tasks</t>
  </si>
  <si>
    <t>Operational task for platform_admin; retry, correct-and-retry with reason, escalate or discard, with the outcome recorded.</t>
  </si>
  <si>
    <t>04A §22.4; ADD A10</t>
  </si>
  <si>
    <t>M18-10</t>
  </si>
  <si>
    <t>ZPS status feed</t>
  </si>
  <si>
    <t>Outbound enrolment, participation, gap, referral, adherence, task and outcome status over signed webhooks.</t>
  </si>
  <si>
    <t>PRD §10.5; RM BE-M18</t>
  </si>
  <si>
    <t>M18-11</t>
  </si>
  <si>
    <t>ZHEP feed, switched off</t>
  </si>
  <si>
    <t>Built and tested against a simulation; flag off.</t>
  </si>
  <si>
    <t>RM BE-M18; RM R7</t>
  </si>
  <si>
    <t>M18-12</t>
  </si>
  <si>
    <t>Keep evidence of failures</t>
  </si>
  <si>
    <t>Original request and response kept; temporary and permanent failures separated; alerts on unresolved failures.</t>
  </si>
  <si>
    <t>PRD §10.15; ZCR-OPR-001</t>
  </si>
  <si>
    <t>M18-13</t>
  </si>
  <si>
    <t>Expired-record tidy-up</t>
  </si>
  <si>
    <t>Idempotency keys older than their expiry swept by the decided housekeeping mechanism.</t>
  </si>
  <si>
    <t>RM BE-M18; OD-25</t>
  </si>
  <si>
    <t>M18-14</t>
  </si>
  <si>
    <t>Integration health and metrics</t>
  </si>
  <si>
    <t>Queue depth, failure counts and dependency health per component; optional integrations never fail liveness.</t>
  </si>
  <si>
    <t>STD RES-05, LOG-06</t>
  </si>
  <si>
    <t>M18-15</t>
  </si>
  <si>
    <t>Integration console endpoints</t>
  </si>
  <si>
    <t>List, inspect and resolve dead letters; define in 04B first.</t>
  </si>
  <si>
    <t>M18-16</t>
  </si>
  <si>
    <t>S-19 Integration &amp; Ops Console</t>
  </si>
  <si>
    <t>Scope of impact (which workflows, how many members); human reconciliation.</t>
  </si>
  <si>
    <t>04C S-19</t>
  </si>
  <si>
    <t>M18-17</t>
  </si>
  <si>
    <t>M18-18</t>
  </si>
  <si>
    <t>M18-19</t>
  </si>
  <si>
    <t>M18-20</t>
  </si>
  <si>
    <t>External-failure suite</t>
  </si>
  <si>
    <t>For each port: down → retry → dead letter → task; duplicate inbound absorbed; nothing lost.</t>
  </si>
  <si>
    <t>04F §18; STD QA-07</t>
  </si>
  <si>
    <t>M18-21</t>
  </si>
  <si>
    <t>M18-22</t>
  </si>
  <si>
    <t>package-info (owned tables), docs/database/migration-plan.md, docs/architecture/overview.md, traceability rows for ZCR-INT-001..004, ZCR-AVL-001, ZCR-IOP-001, ZCR-OPR-001.</t>
  </si>
  <si>
    <t>M18-23</t>
  </si>
  <si>
    <t>M18-24</t>
  </si>
  <si>
    <t>Evidence of Journey 19 (administrator resolves a failed delivery) under docs/demo/evidence/ with screenshots.</t>
  </si>
  <si>
    <t>M18-25</t>
  </si>
  <si>
    <t>No failure is silent: every failed delivery appears as a task for an administrator. Shown end to end (server and screens) at the sprint demo.</t>
  </si>
  <si>
    <t>M18-26</t>
  </si>
  <si>
    <t>M18-27</t>
  </si>
  <si>
    <t>Release v0.18.0 tagged</t>
  </si>
  <si>
    <t>Annotated tag v0.18.0 from a green pipeline; CHANGELOG section dated; next SNAPSHOT set. Dashboard now shows 100%.</t>
  </si>
  <si>
    <t>M19 · AI (switched off)</t>
  </si>
  <si>
    <t>Prepare for future AI suggestions, switched off, with nothing depending on them.</t>
  </si>
  <si>
    <t>domains.ai: zc_ai_recommendation, zc_ai_review (mig-17)</t>
  </si>
  <si>
    <t>Depends on M18 · Sprints S42 · Screens Hidden AI panel · Release v0.19.0</t>
  </si>
  <si>
    <t>M19-01</t>
  </si>
  <si>
    <t>Confirm M18 is signed off</t>
  </si>
  <si>
    <t>Dashboard shows M18 at 100% and its Gate out rows are Done. Do not start this sheet before that.</t>
  </si>
  <si>
    <t>M19-02</t>
  </si>
  <si>
    <t>PRD §8.16, §11; 04A §7.16, §19; 04E (all); mig-17.</t>
  </si>
  <si>
    <t>M19-03</t>
  </si>
  <si>
    <t>zc_ai_recommendation, zc_ai_review. Identity ids never supplied; @Version on row_version; tenant_id and created_* not updatable; entities stay inside the service layer.</t>
  </si>
  <si>
    <t>mig-17; 04D §11; ADR-0002</t>
  </si>
  <si>
    <t>M19-04</t>
  </si>
  <si>
    <t>M19-05</t>
  </si>
  <si>
    <t>ck_zc_ai_advisory → every recommendation advisory; review decision other than accepted needs a rationale.</t>
  </si>
  <si>
    <t>M19-06</t>
  </si>
  <si>
    <t>Flags default off</t>
  </si>
  <si>
    <t>zcare.ai.enabled=false; per-tenant, per-use-case flags in configuration scope "features".</t>
  </si>
  <si>
    <t>RM BE-M19; 04F §13; 04E §20.5</t>
  </si>
  <si>
    <t>M19-07</t>
  </si>
  <si>
    <t>ModelPort interface only</t>
  </si>
  <si>
    <t>No adapter, no model SDK dependency, no network call.</t>
  </si>
  <si>
    <t>RM BE-M19; 04F §12</t>
  </si>
  <si>
    <t>M19-08</t>
  </si>
  <si>
    <t>Recommendation and review records</t>
  </si>
  <si>
    <t>Advisory only; human review accepted, modified or rejected with rationale.</t>
  </si>
  <si>
    <t>04E §4; mig-17</t>
  </si>
  <si>
    <t>M19-09</t>
  </si>
  <si>
    <t>Prohibited uses documented</t>
  </si>
  <si>
    <t>No diagnosis, prescribing, plan approval, referral orders or payer decisions; no PHI to hosted APIs.</t>
  </si>
  <si>
    <t>04E §3, §6; ZCR-AID-004</t>
  </si>
  <si>
    <t>M19-10</t>
  </si>
  <si>
    <t>No AI affordances while off</t>
  </si>
  <si>
    <t>Pilot screens unchanged; AI panel renders only if a flag is on.</t>
  </si>
  <si>
    <t>04C §13; RM FE-M19</t>
  </si>
  <si>
    <t>M19-11</t>
  </si>
  <si>
    <t>M19-12</t>
  </si>
  <si>
    <t>M19-13</t>
  </si>
  <si>
    <t>M19-14</t>
  </si>
  <si>
    <t>AI-off proofs</t>
  </si>
  <si>
    <t>ArchUnit: nothing calls ModelPort in production code; full suite green with all flags off; flag-off restores the non-AI path.</t>
  </si>
  <si>
    <t>04E §20.7, §21</t>
  </si>
  <si>
    <t>M19-15</t>
  </si>
  <si>
    <t>M19-16</t>
  </si>
  <si>
    <t>package-info (owned tables), docs/database/migration-plan.md, docs/architecture/overview.md, traceability rows for ZCR-AID-001..006.</t>
  </si>
  <si>
    <t>M19-17</t>
  </si>
  <si>
    <t>M19-18</t>
  </si>
  <si>
    <t>Evidence of full regression with all AI flags off under docs/demo/evidence/ with screenshots.</t>
  </si>
  <si>
    <t>M19-19</t>
  </si>
  <si>
    <t>Everything works with AI switched off, and checks prove no AI is called anywhere. Shown end to end (server and screens) at the sprint demo.</t>
  </si>
  <si>
    <t>M19-20</t>
  </si>
  <si>
    <t>M19-21</t>
  </si>
  <si>
    <t>Release v0.19.0 tagged</t>
  </si>
  <si>
    <t>Annotated tag v0.19.0 from a green pipeline; CHANGELOG section dated; next SNAPSHOT set. Dashboard now shows 100%.</t>
  </si>
  <si>
    <t>M20 · Testing &amp; Acceptance</t>
  </si>
  <si>
    <t>Test the whole system end to end and get the business to sign it off.</t>
  </si>
  <si>
    <t>Whole service and web app</t>
  </si>
  <si>
    <t>Depends on M19 · Sprints S43–S48 · Screens All · Release v1.0.0</t>
  </si>
  <si>
    <t>M20-01</t>
  </si>
  <si>
    <t>Confirm M19 is signed off</t>
  </si>
  <si>
    <t>Dashboard shows M01–M19 at 100%.</t>
  </si>
  <si>
    <t>M20-02</t>
  </si>
  <si>
    <t>Fix the journey list</t>
  </si>
  <si>
    <t>Agree which journeys the automated run covers (roadmap says 13; 04C lists 20).</t>
  </si>
  <si>
    <t>PO, QA</t>
  </si>
  <si>
    <t>OD-27</t>
  </si>
  <si>
    <t>M20-03</t>
  </si>
  <si>
    <t>Automated journeys (Playwright)</t>
  </si>
  <si>
    <t>Every agreed journey passes end to end.</t>
  </si>
  <si>
    <t>FE, QA</t>
  </si>
  <si>
    <t>RM FE-M20</t>
  </si>
  <si>
    <t>M20-04</t>
  </si>
  <si>
    <t>Accessibility and browsers</t>
  </si>
  <si>
    <t>axe WCAG 2.1 AA; Lighthouse; browser matrix; one manual screen-reader pass per journey.</t>
  </si>
  <si>
    <t>RM FE-M20; 04C §14</t>
  </si>
  <si>
    <t>M20-05</t>
  </si>
  <si>
    <t>All 04F test suites green in CI</t>
  </si>
  <si>
    <t>Unit, integration (04D §25.1), contract, structural, tenant isolation, consent gate, employer boundary, audit history, external failure, e2e, traceability.</t>
  </si>
  <si>
    <t>QA, BE</t>
  </si>
  <si>
    <t>M20-06</t>
  </si>
  <si>
    <t>API standard audit</t>
  </si>
  <si>
    <t>Every endpoint scores at least 18/22 on the ENG-STD-SB-001 rubric.</t>
  </si>
  <si>
    <t>RM BE-M20; 04B §1</t>
  </si>
  <si>
    <t>M20-07</t>
  </si>
  <si>
    <t>OWASP ZAP clean; dependency and secret scans clean; penetration-test findings closed.</t>
  </si>
  <si>
    <t>SEC</t>
  </si>
  <si>
    <t>RM BE-M20</t>
  </si>
  <si>
    <t>M20-08</t>
  </si>
  <si>
    <t>Performance and resilience</t>
  </si>
  <si>
    <t>Queue p95 &lt; 500 ms at 100× synthetic volume; two-tenant load probe; chaos-lite.</t>
  </si>
  <si>
    <t>QA, OPS</t>
  </si>
  <si>
    <t>04F §22</t>
  </si>
  <si>
    <t>M20-09</t>
  </si>
  <si>
    <t>Privacy tests</t>
  </si>
  <si>
    <t>No-PHI-in-logs leak test; employer boundary; consent protection.</t>
  </si>
  <si>
    <t>QA, PRIV</t>
  </si>
  <si>
    <t>M20-10</t>
  </si>
  <si>
    <t>UAT with real roles</t>
  </si>
  <si>
    <t>25 scripts: UAT-01..16 (required) and UAT-20..28 (diabetes pathway), mapped to Must-Have ZCR ids.</t>
  </si>
  <si>
    <t>QA, PO</t>
  </si>
  <si>
    <t>UAT; PRD App. F.2</t>
  </si>
  <si>
    <t>M20-11</t>
  </si>
  <si>
    <t>Gate 4 conditions met</t>
  </si>
  <si>
    <t>Privacy wording approved; retention rules (DEC-015); Aga Khan content package; security review; provider contract (DEC-011); monitoring and recovery tested.</t>
  </si>
  <si>
    <t>PO, PRIV, CLIN, SEC</t>
  </si>
  <si>
    <t>GUIDE §13; RM R5, R6</t>
  </si>
  <si>
    <t>M20-12</t>
  </si>
  <si>
    <t>Production readiness</t>
  </si>
  <si>
    <t>No [SYNTHETIC] content reachable by a real tenant; rollback image identified; runbook and alerts in place.</t>
  </si>
  <si>
    <t>OPS, BE</t>
  </si>
  <si>
    <t>M20-13</t>
  </si>
  <si>
    <t>Release notes cite requirement ids</t>
  </si>
  <si>
    <t>Notes for integrators list API, migrations, configuration and ZCR ids.</t>
  </si>
  <si>
    <t>STD REL-06; GUIDE §13</t>
  </si>
  <si>
    <t>M20-14</t>
  </si>
  <si>
    <t>Sign-off and go/no-go</t>
  </si>
  <si>
    <t>Founder, Care Operations and Clinical (Aga Khan) sign; decision recorded.</t>
  </si>
  <si>
    <t>PO, CLIN</t>
  </si>
  <si>
    <t>RM BE-M20; UAT</t>
  </si>
  <si>
    <t>M20-15</t>
  </si>
  <si>
    <t>Release v1.0.0 tagged</t>
  </si>
  <si>
    <t>First production release; from here VER-04 applies in full.</t>
  </si>
  <si>
    <t>STD VER-03, REL-04</t>
  </si>
  <si>
    <t>Open Decisions</t>
  </si>
  <si>
    <t>Conflicts and gaps found in the documents. Close every row a milestone needs (column D) before starting it: set Status to Decided and name the ADR or document that records the decision. Conflicts are escalated, never silently resolved (AGENT_GUARDRAILS).</t>
  </si>
  <si>
    <t>Decision or conflict</t>
  </si>
  <si>
    <t>Sources</t>
  </si>
  <si>
    <t>Needed by</t>
  </si>
  <si>
    <t>Suggested direction</t>
  </si>
  <si>
    <t>Decision and record (ADR / doc)</t>
  </si>
  <si>
    <t>Date</t>
  </si>
  <si>
    <t>OD-01</t>
  </si>
  <si>
    <t>Response style: 04B envelope (business errors as HTTP 200) or the standard's RFC 9457 Problem Details</t>
  </si>
  <si>
    <t>04B §5–6; AGENTS; STD WEB-02, ERR-02</t>
  </si>
  <si>
    <t>Record ADR-0005 adopting the 04B envelope (the standard allows an envelope when an ADR records it).</t>
  </si>
  <si>
    <t>Open</t>
  </si>
  <si>
    <t>OD-02</t>
  </si>
  <si>
    <t>Tenant source: X-Tenant-Id header (04B §3) or token claim (tenant/package-info, trial roadmap)</t>
  </si>
  <si>
    <t>04B §3; tenant/package-info</t>
  </si>
  <si>
    <t>Token is the authority; header spoofing gives 403 plus tenant_violation_attempt.</t>
  </si>
  <si>
    <t>OD-03</t>
  </si>
  <si>
    <t>Base path: /{tenant}/zcare/v1 (04B §4) or /api/v1 (STD API-01)</t>
  </si>
  <si>
    <t>04B §4, §16; STD API-01</t>
  </si>
  <si>
    <t>OD-04</t>
  </si>
  <si>
    <t>Canon written for Python (04F, AGENTS, ARCHITECTURE); map its layers to ADR-0002 packages and update the canon</t>
  </si>
  <si>
    <t>04F §3–6; ADR-0002</t>
  </si>
  <si>
    <t>OD-05</t>
  </si>
  <si>
    <t>Build: roadmap says Maven multi-module; ADR-0002 chose one project</t>
  </si>
  <si>
    <t>RM BE-M2; ADR-0002</t>
  </si>
  <si>
    <t>Confirm ADR-0002 with the roadmap owner.</t>
  </si>
  <si>
    <t>OD-06</t>
  </si>
  <si>
    <t>Version control and CI: no git repository yet; roadmap names GitHub Actions</t>
  </si>
  <si>
    <t>RM BE-M2; STD C.5</t>
  </si>
  <si>
    <t>M01, M02</t>
  </si>
  <si>
    <t>OD-07</t>
  </si>
  <si>
    <t>Spring Boot 3.2.2 is past open-source support; choose a supported version</t>
  </si>
  <si>
    <t>ADR-0001; STD DEP-02</t>
  </si>
  <si>
    <t>OD-08</t>
  </si>
  <si>
    <t>Where M2's audit, idempotency and outbox writers live (tables belong to M17/M18 domains)</t>
  </si>
  <si>
    <t>RM BE-M2; ADR-0002 r5</t>
  </si>
  <si>
    <t>OD-09</t>
  </si>
  <si>
    <t>Home for PayerPort, OutreachPort, ProviderPort and ModelPort (ADR-0002 has none)</t>
  </si>
  <si>
    <t>ARCHITECTURE; 04F §2; STD INT-04</t>
  </si>
  <si>
    <t>Avoid the name clash with domains.integration.</t>
  </si>
  <si>
    <t>OD-10</t>
  </si>
  <si>
    <t>Republish the API description with numeric ids</t>
  </si>
  <si>
    <t>RM R1; ADR-0004</t>
  </si>
  <si>
    <t>OD-11</t>
  </si>
  <si>
    <t>Sign-in details with the platform team (Keycloak realm, clients, claims)</t>
  </si>
  <si>
    <t>RM R4</t>
  </si>
  <si>
    <t>OD-12</t>
  </si>
  <si>
    <t>zc_user.password_hash is NOT NULL although ZCare keeps no passwords</t>
  </si>
  <si>
    <t>ADR-0004; RM §1.1</t>
  </si>
  <si>
    <t>OD-13</t>
  </si>
  <si>
    <t>zc_tenant_whatsapp.access_token stored in the database although secrets live only on servers</t>
  </si>
  <si>
    <t>M03, M15</t>
  </si>
  <si>
    <t>How tenants are provisioned (zc_app can only read zc_tenant)</t>
  </si>
  <si>
    <t>mig-03; RM M3</t>
  </si>
  <si>
    <t>OD-15</t>
  </si>
  <si>
    <t>Approved lists still missing: care models, priority-tier names, 26 audit operations</t>
  </si>
  <si>
    <t>RM R3; ADR-0004</t>
  </si>
  <si>
    <t>M04, M08, M17</t>
  </si>
  <si>
    <t>Use editable lists until approved.</t>
  </si>
  <si>
    <t>Endpoints missing from 04B: admin, members list, preferences, consent re-prompt, cohort release, plan submit, task accept/cancel/reassign/escalate, observation invalidate, console</t>
  </si>
  <si>
    <t>04B; 04C</t>
  </si>
  <si>
    <t>M03, M05, M06, M07, M08, M09, M10, M13, M18</t>
  </si>
  <si>
    <t>Add each to 04B and OpenAPI before its milestone starts.</t>
  </si>
  <si>
    <t>OD-17</t>
  </si>
  <si>
    <t>Addendum endpoints and code not in the 04B registry (request-changes, reject, record-clinical-approval, ZCARE_THRESHOLD_REVIEW_REQUIRED)</t>
  </si>
  <si>
    <t>ADD Part B, E; 04B §6</t>
  </si>
  <si>
    <t>M04, M09, M13</t>
  </si>
  <si>
    <t>OD-18</t>
  </si>
  <si>
    <t>OpenAPI and AsyncAPI files that 04B calls complete do not exist</t>
  </si>
  <si>
    <t>04B; 04F §9</t>
  </si>
  <si>
    <t>Create them and diff in CI.</t>
  </si>
  <si>
    <t>OD-19</t>
  </si>
  <si>
    <t>Consent revocation: 04A says suspend, ADD A5 says exact STOP withdraws and revokes</t>
  </si>
  <si>
    <t>04A §16; ADD A5</t>
  </si>
  <si>
    <t>OD-20</t>
  </si>
  <si>
    <t>Care-plan approver: 04A §7.5 allows clinician or care manager; 04A §22.2, ADD E and the roadmap say clinician only, never the author</t>
  </si>
  <si>
    <t>04A; ADD E; RM §1.2</t>
  </si>
  <si>
    <t>OD-21</t>
  </si>
  <si>
    <t>Who may suppress and who may close a care gap; second pair of eyes</t>
  </si>
  <si>
    <t>04C §20 #6; ADD C1, C2</t>
  </si>
  <si>
    <t>OD-22</t>
  </si>
  <si>
    <t>Privacy approval of WhatsApp wording (go-live condition)</t>
  </si>
  <si>
    <t>RM R5; 04A §21</t>
  </si>
  <si>
    <t>M15, M20</t>
  </si>
  <si>
    <t>Build with marked placeholders.</t>
  </si>
  <si>
    <t>OD-23</t>
  </si>
  <si>
    <t>Provider Portal contract (DEC-011)</t>
  </si>
  <si>
    <t>PRD App. E; 04B §21</t>
  </si>
  <si>
    <t>OD-24</t>
  </si>
  <si>
    <t>ZPS status-feed format and ZHEP interface</t>
  </si>
  <si>
    <t>RM R7</t>
  </si>
  <si>
    <t>M15, M18</t>
  </si>
  <si>
    <t>Test against simulations meanwhile.</t>
  </si>
  <si>
    <t>OD-25</t>
  </si>
  <si>
    <t>Mechanism for the housekeeping sweep (zc_housekeeping is NOLOGIN)</t>
  </si>
  <si>
    <t>mig-19; RM BE-M18</t>
  </si>
  <si>
    <t>OD-26</t>
  </si>
  <si>
    <t>Retention rules (DEC-015) and Aga Khan clinical content (thresholds)</t>
  </si>
  <si>
    <t>RM R6; ADD A8</t>
  </si>
  <si>
    <t>M13, M20</t>
  </si>
  <si>
    <t>Synthetic values until supplied.</t>
  </si>
  <si>
    <t>Which journeys the final automated run covers (roadmap 13, 04C 20)</t>
  </si>
  <si>
    <t>RM FE-M20; 04C §5</t>
  </si>
  <si>
    <t>OD-28</t>
  </si>
  <si>
    <t>Event data_classification casing: PHI (04B) or phi (04D)</t>
  </si>
  <si>
    <t>04B §12; 04D §17</t>
  </si>
  <si>
    <t>OD-29</t>
  </si>
  <si>
    <t>SLA values for tasks and threshold reviews are unset</t>
  </si>
  <si>
    <t>04C S-01, S-14</t>
  </si>
  <si>
    <t>M10, M13</t>
  </si>
  <si>
    <t>OD-30</t>
  </si>
  <si>
    <t>Privacy approval record for the assisted-consent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</si>
</sst>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5" x14ac:knownFonts="1">
    <font>
      <color theme="1"/>
      <family val="2"/>
      <scheme val="minor"/>
      <sz val="11"/>
      <name val="Calibri"/>
    </font>
    <font>
      <b/>
      <color rgb="FF0D6468"/>
      <sz val="18"/>
      <name val="Arial"/>
    </font>
    <font>
      <b/>
      <color rgb="FF17212B"/>
      <sz val="10"/>
      <name val="Arial"/>
    </font>
    <font>
      <color rgb="FF5D6B79"/>
      <sz val="10"/>
      <name val="Arial"/>
    </font>
    <font>
      <b/>
      <u/>
      <color rgb="FF0D6468"/>
      <sz val="10"/>
      <name val="Arial"/>
    </font>
    <font>
      <b/>
      <color rgb="FF0D6468"/>
      <sz val="12"/>
      <name val="Arial"/>
    </font>
    <font>
      <color rgb="FF17212B"/>
      <sz val="10"/>
      <name val="Arial"/>
    </font>
    <font>
      <b/>
      <color rgb="FF7A4F00"/>
      <sz val="10"/>
      <name val="Arial"/>
    </font>
    <font>
      <b/>
      <color rgb="FF9C0006"/>
      <sz val="10"/>
      <name val="Arial"/>
    </font>
    <font>
      <b/>
      <color rgb="FF006100"/>
      <sz val="10"/>
      <name val="Arial"/>
    </font>
    <font>
      <b/>
      <color rgb="FF5D6B79"/>
      <sz val="10"/>
      <name val="Arial"/>
    </font>
    <font>
      <b/>
      <color rgb="FFFFFFFF"/>
      <sz val="10"/>
      <name val="Arial"/>
    </font>
    <font>
      <b/>
      <color rgb="FF0D6468"/>
      <sz val="16"/>
      <name val="Arial"/>
    </font>
    <font>
      <b/>
      <color rgb="FF17212B"/>
      <sz val="11"/>
      <name val="Arial"/>
    </font>
    <font>
      <color rgb="FF5D6B79"/>
      <sz val="9"/>
      <name val="Arial"/>
    </font>
  </fonts>
  <fills count="10">
    <fill>
      <patternFill patternType="none"/>
    </fill>
    <fill>
      <patternFill patternType="gray125"/>
    </fill>
    <fill>
      <patternFill patternType="solid">
        <fgColor rgb="FFFFFFFF"/>
      </patternFill>
    </fill>
    <fill>
      <patternFill patternType="solid">
        <fgColor rgb="FFFFEB9C"/>
      </patternFill>
    </fill>
    <fill>
      <patternFill patternType="solid">
        <fgColor rgb="FFFFC7CE"/>
      </patternFill>
    </fill>
    <fill>
      <patternFill patternType="solid">
        <fgColor rgb="FFC6EFCE"/>
      </patternFill>
    </fill>
    <fill>
      <patternFill patternType="solid">
        <fgColor rgb="FFE7E9EC"/>
      </patternFill>
    </fill>
    <fill>
      <patternFill patternType="solid">
        <fgColor rgb="FF0D6468"/>
      </patternFill>
    </fill>
    <fill>
      <patternFill patternType="solid">
        <fgColor rgb="FFFFF6D5"/>
      </patternFill>
    </fill>
    <fill>
      <patternFill patternType="solid">
        <fgColor rgb="FFE3F1F1"/>
      </patternFill>
    </fill>
  </fills>
  <borders count="3">
    <border>
      <left/>
      <right/>
      <top/>
      <bottom/>
      <diagonal/>
    </border>
    <border>
      <left style="thin">
        <color rgb="FFD9DEE3"/>
      </left>
      <right style="thin">
        <color rgb="FFD9DEE3"/>
      </right>
      <top style="thin">
        <color rgb="FFD9DEE3"/>
      </top>
      <bottom style="thin">
        <color rgb="FFD9DEE3"/>
      </bottom>
      <diagonal/>
    </border>
    <border>
      <left/>
      <right/>
      <top style="medium">
        <color rgb="FF17212B"/>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6" fillId="0" borderId="0" xfId="0" applyFont="1" applyAlignment="1">
      <alignment vertical="top" wrapText="1"/>
    </xf>
    <xf numFmtId="0" fontId="2" fillId="2" borderId="1" xfId="0" applyFont="1" applyFill="1" applyBorder="1" applyAlignment="1">
      <alignment vertical="top" wrapText="1"/>
    </xf>
    <xf numFmtId="0" fontId="7" fillId="3" borderId="1" xfId="0" applyFont="1" applyFill="1" applyBorder="1" applyAlignment="1">
      <alignment vertical="top" wrapText="1"/>
    </xf>
    <xf numFmtId="0" fontId="8" fillId="4" borderId="1" xfId="0" applyFont="1" applyFill="1" applyBorder="1" applyAlignment="1">
      <alignment vertical="top" wrapText="1"/>
    </xf>
    <xf numFmtId="0" fontId="9" fillId="5" borderId="1" xfId="0" applyFont="1" applyFill="1" applyBorder="1" applyAlignment="1">
      <alignment vertical="top" wrapText="1"/>
    </xf>
    <xf numFmtId="0" fontId="10" fillId="6" borderId="1" xfId="0" applyFont="1" applyFill="1" applyBorder="1" applyAlignment="1">
      <alignment vertical="top" wrapText="1"/>
    </xf>
    <xf numFmtId="0" fontId="11" fillId="7" borderId="0" xfId="0" applyFont="1" applyFill="1"/>
    <xf numFmtId="0" fontId="2" fillId="8" borderId="0" xfId="0" applyFont="1" applyFill="1" applyAlignment="1">
      <alignment vertical="top" wrapText="1"/>
    </xf>
    <xf numFmtId="0" fontId="6" fillId="8" borderId="0" xfId="0" applyFont="1" applyFill="1" applyAlignment="1">
      <alignment vertical="top" wrapText="1"/>
    </xf>
    <xf numFmtId="0" fontId="3" fillId="0" borderId="0" xfId="0" applyFont="1"/>
    <xf numFmtId="0" fontId="10" fillId="0" borderId="0" xfId="0" applyFont="1" applyAlignment="1">
      <alignment horizontal="left"/>
    </xf>
    <xf numFmtId="0" fontId="10" fillId="0" borderId="0" xfId="0" applyFont="1" applyAlignment="1">
      <alignment horizontal="right"/>
    </xf>
    <xf numFmtId="9" fontId="5" fillId="0" borderId="0" xfId="0" applyNumberFormat="1" applyFont="1"/>
    <xf numFmtId="0" fontId="11" fillId="7" borderId="1" xfId="0" applyFont="1" applyFill="1" applyBorder="1" applyAlignment="1">
      <alignment vertical="center" wrapText="1"/>
    </xf>
    <xf numFmtId="0" fontId="6" fillId="0" borderId="1" xfId="0" applyFont="1" applyBorder="1" applyAlignment="1">
      <alignment vertical="top"/>
    </xf>
    <xf numFmtId="0" fontId="2" fillId="0" borderId="1" xfId="0" applyFont="1" applyBorder="1" applyAlignment="1">
      <alignment vertical="top"/>
    </xf>
    <xf numFmtId="0" fontId="4" fillId="0" borderId="1" xfId="0" applyFont="1" applyBorder="1" applyAlignment="1">
      <alignment vertical="top"/>
    </xf>
    <xf numFmtId="9" fontId="6" fillId="0" borderId="1" xfId="0" applyNumberFormat="1" applyFont="1" applyBorder="1" applyAlignment="1">
      <alignment vertical="top"/>
    </xf>
    <xf numFmtId="0" fontId="6" fillId="0" borderId="1" xfId="0" applyFont="1" applyBorder="1" applyAlignment="1">
      <alignment vertical="top" wrapText="1"/>
    </xf>
    <xf numFmtId="0" fontId="2" fillId="0" borderId="2" xfId="0" applyFont="1" applyBorder="1"/>
    <xf numFmtId="9" fontId="2" fillId="0" borderId="2" xfId="0" applyNumberFormat="1" applyFont="1" applyBorder="1"/>
    <xf numFmtId="0" fontId="12" fillId="0" borderId="0" xfId="0" applyFont="1"/>
    <xf numFmtId="0" fontId="4" fillId="0" borderId="0" xfId="0" applyFont="1" applyAlignment="1">
      <alignment horizontal="right"/>
    </xf>
    <xf numFmtId="0" fontId="10" fillId="0" borderId="0" xfId="0" applyFont="1" applyAlignment="1">
      <alignment vertical="top"/>
    </xf>
    <xf numFmtId="9" fontId="13" fillId="0" borderId="0" xfId="0" applyNumberFormat="1" applyFont="1" applyAlignment="1">
      <alignment horizontal="left"/>
    </xf>
    <xf numFmtId="0" fontId="13" fillId="0" borderId="0" xfId="0" applyFont="1" applyAlignment="1">
      <alignment horizontal="left"/>
    </xf>
    <xf numFmtId="0" fontId="2" fillId="0" borderId="0" xfId="0" applyFont="1" applyAlignment="1">
      <alignment horizontal="left" vertical="center"/>
    </xf>
    <xf numFmtId="0" fontId="14" fillId="9" borderId="1" xfId="0" applyFont="1" applyFill="1" applyBorder="1" applyAlignment="1">
      <alignment vertical="top"/>
    </xf>
    <xf numFmtId="0" fontId="6" fillId="9" borderId="1" xfId="0" applyFont="1" applyFill="1" applyBorder="1" applyAlignment="1">
      <alignment vertical="top"/>
    </xf>
    <xf numFmtId="0" fontId="2" fillId="9" borderId="1" xfId="0" applyFont="1" applyFill="1" applyBorder="1" applyAlignment="1">
      <alignment vertical="top" wrapText="1"/>
    </xf>
    <xf numFmtId="0" fontId="6" fillId="9" borderId="1" xfId="0" applyFont="1" applyFill="1" applyBorder="1" applyAlignment="1">
      <alignment vertical="top" wrapText="1"/>
    </xf>
    <xf numFmtId="0" fontId="14" fillId="9" borderId="1" xfId="0" applyFont="1" applyFill="1" applyBorder="1" applyAlignment="1">
      <alignment vertical="top" wrapText="1"/>
    </xf>
    <xf numFmtId="0" fontId="6" fillId="8" borderId="1" xfId="0" applyFont="1" applyFill="1" applyBorder="1" applyAlignment="1">
      <alignment vertical="top"/>
    </xf>
    <xf numFmtId="164" fontId="6" fillId="8" borderId="1" xfId="0" applyNumberFormat="1" applyFont="1" applyFill="1" applyBorder="1" applyAlignment="1">
      <alignment vertical="top"/>
    </xf>
    <xf numFmtId="0" fontId="6" fillId="8" borderId="1" xfId="0" applyFont="1" applyFill="1" applyBorder="1" applyAlignment="1">
      <alignment vertical="top" wrapText="1"/>
    </xf>
    <xf numFmtId="0" fontId="14" fillId="0" borderId="1" xfId="0" applyFont="1" applyBorder="1" applyAlignment="1">
      <alignment vertical="top"/>
    </xf>
    <xf numFmtId="0" fontId="2" fillId="0" borderId="1" xfId="0" applyFont="1" applyBorder="1" applyAlignment="1">
      <alignment vertical="top" wrapText="1"/>
    </xf>
    <xf numFmtId="0" fontId="14" fillId="0" borderId="1" xfId="0" applyFont="1" applyBorder="1" applyAlignment="1">
      <alignment vertical="top" wrapText="1"/>
    </xf>
    <xf numFmtId="0" fontId="0" fillId="8" borderId="1" xfId="0" applyFill="1" applyBorder="1"/>
    <xf numFmtId="164" fontId="0" fillId="8" borderId="1" xfId="0" applyNumberFormat="1" applyFill="1" applyBorder="1"/>
  </cellXfs>
  <cellStyles count="1">
    <cellStyle name="Normal" xfId="0" builtinId="0"/>
  </cellStyles>
  <dxfs count="337">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5D6B79"/>
      </font>
      <fill>
        <patternFill patternType="solid">
          <bgColor rgb="FFF2F4F6"/>
        </patternFill>
      </fill>
    </dxf>
    <dxf>
      <font>
        <b/>
        <color rgb="FFFFFFFF"/>
      </font>
      <fill>
        <patternFill patternType="solid">
          <bgColor rgb="FF0D6468"/>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
      <font>
        <b/>
        <color rgb="FF006100"/>
      </font>
      <fill>
        <patternFill patternType="solid">
          <bgColor rgb="FFC6EFCE"/>
        </patternFill>
      </fill>
    </dxf>
    <dxf>
      <font>
        <b/>
        <color rgb="FF006100"/>
      </font>
      <fill>
        <patternFill patternType="solid">
          <bgColor rgb="FFC6EFCE"/>
        </patternFill>
      </fill>
    </dxf>
    <dxf>
      <font>
        <b/>
        <color rgb="FF7A4F00"/>
      </font>
      <fill>
        <patternFill patternType="solid">
          <bgColor rgb="FFFFEB9C"/>
        </patternFill>
      </fill>
    </dxf>
    <dxf>
      <font>
        <b/>
        <color rgb="FF9C0006"/>
      </font>
      <fill>
        <patternFill patternType="solid">
          <bgColor rgb="FFFFC7CE"/>
        </patternFill>
      </fill>
    </dxf>
    <dxf>
      <font>
        <b/>
        <color rgb="FF5D6B79"/>
      </font>
      <fill>
        <patternFill patternType="solid">
          <bgColor rgb="FFE7E9EC"/>
        </patternFill>
      </fill>
    </dxf>
    <dxf>
      <font>
        <b/>
        <color rgb="FF006100"/>
      </font>
      <fill>
        <patternFill patternType="solid">
          <bgColor rgb="FFC6EFCE"/>
        </patternFill>
      </fill>
    </dxf>
    <dxf>
      <font>
        <b/>
        <color rgb="FF7A4F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M01 Database&apos;!A1" TargetMode="External"/><Relationship Id="rId2" Type="http://schemas.openxmlformats.org/officeDocument/2006/relationships/hyperlink" Target="#&apos;M02 Platform&apos;!A1" TargetMode="External"/><Relationship Id="rId3" Type="http://schemas.openxmlformats.org/officeDocument/2006/relationships/hyperlink" Target="#&apos;M03 Access&apos;!A1" TargetMode="External"/><Relationship Id="rId4" Type="http://schemas.openxmlformats.org/officeDocument/2006/relationships/hyperlink" Target="#&apos;M04 Programme&apos;!A1" TargetMode="External"/><Relationship Id="rId5" Type="http://schemas.openxmlformats.org/officeDocument/2006/relationships/hyperlink" Target="#&apos;M05 Reference&apos;!A1" TargetMode="External"/><Relationship Id="rId6" Type="http://schemas.openxmlformats.org/officeDocument/2006/relationships/hyperlink" Target="#&apos;M06 Cohort&apos;!A1" TargetMode="External"/><Relationship Id="rId7" Type="http://schemas.openxmlformats.org/officeDocument/2006/relationships/hyperlink" Target="#&apos;M07 Enrolment&apos;!A1" TargetMode="External"/><Relationship Id="rId8" Type="http://schemas.openxmlformats.org/officeDocument/2006/relationships/hyperlink" Target="#&apos;M08 Assessment&apos;!A1" TargetMode="External"/><Relationship Id="rId9" Type="http://schemas.openxmlformats.org/officeDocument/2006/relationships/hyperlink" Target="#&apos;M09 Care Plan&apos;!A1" TargetMode="External"/><Relationship Id="rId10" Type="http://schemas.openxmlformats.org/officeDocument/2006/relationships/hyperlink" Target="#&apos;M10 Care Work&apos;!A1" TargetMode="External"/><Relationship Id="rId11" Type="http://schemas.openxmlformats.org/officeDocument/2006/relationships/hyperlink" Target="#&apos;M11 Referral&apos;!A1" TargetMode="External"/><Relationship Id="rId12" Type="http://schemas.openxmlformats.org/officeDocument/2006/relationships/hyperlink" Target="#&apos;M12 Medication&apos;!A1" TargetMode="External"/><Relationship Id="rId13" Type="http://schemas.openxmlformats.org/officeDocument/2006/relationships/hyperlink" Target="#&apos;M13 Observation&apos;!A1" TargetMode="External"/><Relationship Id="rId14" Type="http://schemas.openxmlformats.org/officeDocument/2006/relationships/hyperlink" Target="#&apos;M14 Care Gaps&apos;!A1" TargetMode="External"/><Relationship Id="rId15" Type="http://schemas.openxmlformats.org/officeDocument/2006/relationships/hyperlink" Target="#&apos;M15 Engagement&apos;!A1" TargetMode="External"/><Relationship Id="rId16" Type="http://schemas.openxmlformats.org/officeDocument/2006/relationships/hyperlink" Target="#&apos;M16 Outcomes&apos;!A1" TargetMode="External"/><Relationship Id="rId17" Type="http://schemas.openxmlformats.org/officeDocument/2006/relationships/hyperlink" Target="#&apos;M17 Audit&apos;!A1" TargetMode="External"/><Relationship Id="rId18" Type="http://schemas.openxmlformats.org/officeDocument/2006/relationships/hyperlink" Target="#&apos;M18 Integration&apos;!A1" TargetMode="External"/><Relationship Id="rId19" Type="http://schemas.openxmlformats.org/officeDocument/2006/relationships/hyperlink" Target="#&apos;M19 AI&apos;!A1" TargetMode="External"/><Relationship Id="rId20" Type="http://schemas.openxmlformats.org/officeDocument/2006/relationships/hyperlink" Target="#&apos;M20 Acceptance&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6468"/>
  </sheetPr>
  <dimension ref="B1:C52"/>
  <sheetViews>
    <sheetView workbookViewId="0" showGridLines="0"/>
  </sheetViews>
  <sheetFormatPr defaultRowHeight="15" outlineLevelRow="0" outlineLevelCol="0" x14ac:dyDescent="55"/>
  <cols>
    <col min="1" max="1" width="3" customWidth="1"/>
    <col min="2" max="2" width="24" customWidth="1"/>
    <col min="3" max="3" width="110" customWidth="1"/>
  </cols>
  <sheetData>
    <row r="1" ht="30" customHeight="1" spans="2:2" x14ac:dyDescent="0.25">
      <c r="B1" s="1" t="s">
        <v>0</v>
      </c>
    </row>
    <row r="2" ht="18" customHeight="1" spans="2:3" x14ac:dyDescent="0.25">
      <c r="B2" s="2" t="s">
        <v>1</v>
      </c>
      <c r="C2" s="3" t="s">
        <v>2</v>
      </c>
    </row>
    <row r="3" spans="3:3" x14ac:dyDescent="0.25">
      <c r="C3" s="4" t="s">
        <v>3</v>
      </c>
    </row>
    <row r="5" spans="2:2" x14ac:dyDescent="0.25">
      <c r="B5" s="5" t="s">
        <v>4</v>
      </c>
    </row>
    <row r="6" ht="31" customHeight="1" spans="2:3" x14ac:dyDescent="0.25">
      <c r="B6" s="2" t="s">
        <v>5</v>
      </c>
      <c r="C6" s="6" t="s">
        <v>6</v>
      </c>
    </row>
    <row r="7" ht="31" customHeight="1" spans="2:3" x14ac:dyDescent="0.25">
      <c r="B7" s="2" t="s">
        <v>7</v>
      </c>
      <c r="C7" s="6" t="s">
        <v>8</v>
      </c>
    </row>
    <row r="8" ht="31" customHeight="1" spans="2:3" x14ac:dyDescent="0.25">
      <c r="B8" s="2" t="s">
        <v>9</v>
      </c>
      <c r="C8" s="6" t="s">
        <v>10</v>
      </c>
    </row>
    <row r="9" ht="18" customHeight="1" spans="2:3" x14ac:dyDescent="0.25">
      <c r="B9" s="2" t="s">
        <v>11</v>
      </c>
      <c r="C9" s="6" t="s">
        <v>12</v>
      </c>
    </row>
    <row r="10" ht="31" customHeight="1" spans="2:3" x14ac:dyDescent="0.25">
      <c r="B10" s="2" t="s">
        <v>13</v>
      </c>
      <c r="C10" s="6" t="s">
        <v>14</v>
      </c>
    </row>
    <row r="11" ht="31" customHeight="1" spans="2:3" x14ac:dyDescent="0.25">
      <c r="B11" s="2" t="s">
        <v>15</v>
      </c>
      <c r="C11" s="6" t="s">
        <v>16</v>
      </c>
    </row>
    <row r="12" ht="18" customHeight="1" spans="2:3" x14ac:dyDescent="0.25">
      <c r="B12" s="2" t="s">
        <v>17</v>
      </c>
      <c r="C12" s="6" t="s">
        <v>18</v>
      </c>
    </row>
    <row r="14" spans="2:2" x14ac:dyDescent="0.25">
      <c r="B14" s="5" t="s">
        <v>19</v>
      </c>
    </row>
    <row r="15" ht="18" customHeight="1" spans="2:3" x14ac:dyDescent="0.25">
      <c r="B15" s="7" t="s">
        <v>20</v>
      </c>
      <c r="C15" s="6" t="s">
        <v>21</v>
      </c>
    </row>
    <row r="16" ht="18" customHeight="1" spans="2:3" x14ac:dyDescent="0.25">
      <c r="B16" s="8" t="s">
        <v>22</v>
      </c>
      <c r="C16" s="6" t="s">
        <v>23</v>
      </c>
    </row>
    <row r="17" ht="18" customHeight="1" spans="2:3" x14ac:dyDescent="0.25">
      <c r="B17" s="9" t="s">
        <v>24</v>
      </c>
      <c r="C17" s="6" t="s">
        <v>25</v>
      </c>
    </row>
    <row r="18" ht="18" customHeight="1" spans="2:3" x14ac:dyDescent="0.25">
      <c r="B18" s="10" t="s">
        <v>26</v>
      </c>
      <c r="C18" s="6" t="s">
        <v>27</v>
      </c>
    </row>
    <row r="19" ht="18" customHeight="1" spans="2:3" x14ac:dyDescent="0.25">
      <c r="B19" s="11" t="s">
        <v>28</v>
      </c>
      <c r="C19" s="6" t="s">
        <v>29</v>
      </c>
    </row>
    <row r="21" spans="2:2" x14ac:dyDescent="0.25">
      <c r="B21" s="5" t="s">
        <v>30</v>
      </c>
    </row>
    <row r="22" ht="18" customHeight="1" spans="2:3" x14ac:dyDescent="0.25">
      <c r="B22" s="2" t="s">
        <v>31</v>
      </c>
      <c r="C22" s="6" t="s">
        <v>32</v>
      </c>
    </row>
    <row r="23" ht="18" customHeight="1" spans="2:3" x14ac:dyDescent="0.25">
      <c r="B23" s="2" t="s">
        <v>33</v>
      </c>
      <c r="C23" s="6" t="s">
        <v>34</v>
      </c>
    </row>
    <row r="24" ht="18" customHeight="1" spans="2:3" x14ac:dyDescent="0.25">
      <c r="B24" s="2" t="s">
        <v>35</v>
      </c>
      <c r="C24" s="6" t="s">
        <v>36</v>
      </c>
    </row>
    <row r="25" ht="18" customHeight="1" spans="2:3" x14ac:dyDescent="0.25">
      <c r="B25" s="2" t="s">
        <v>37</v>
      </c>
      <c r="C25" s="6" t="s">
        <v>38</v>
      </c>
    </row>
    <row r="26" ht="18" customHeight="1" spans="2:3" x14ac:dyDescent="0.25">
      <c r="B26" s="2" t="s">
        <v>39</v>
      </c>
      <c r="C26" s="6" t="s">
        <v>40</v>
      </c>
    </row>
    <row r="27" ht="18" customHeight="1" spans="2:3" x14ac:dyDescent="0.25">
      <c r="B27" s="2" t="s">
        <v>41</v>
      </c>
      <c r="C27" s="6" t="s">
        <v>42</v>
      </c>
    </row>
    <row r="28" ht="18" customHeight="1" spans="2:3" x14ac:dyDescent="0.25">
      <c r="B28" s="2" t="s">
        <v>43</v>
      </c>
      <c r="C28" s="6" t="s">
        <v>44</v>
      </c>
    </row>
    <row r="29" ht="18" customHeight="1" spans="2:3" x14ac:dyDescent="0.25">
      <c r="B29" s="2" t="s">
        <v>45</v>
      </c>
      <c r="C29" s="6" t="s">
        <v>46</v>
      </c>
    </row>
    <row r="30" ht="18" customHeight="1" spans="2:3" x14ac:dyDescent="0.25">
      <c r="B30" s="2" t="s">
        <v>47</v>
      </c>
      <c r="C30" s="6" t="s">
        <v>48</v>
      </c>
    </row>
    <row r="32" spans="2:2" x14ac:dyDescent="0.25">
      <c r="B32" s="5" t="s">
        <v>49</v>
      </c>
    </row>
    <row r="33" ht="31" customHeight="1" spans="2:3" x14ac:dyDescent="0.25">
      <c r="B33" s="2" t="s">
        <v>50</v>
      </c>
      <c r="C33" s="6" t="s">
        <v>51</v>
      </c>
    </row>
    <row r="35" spans="2:2" x14ac:dyDescent="0.25">
      <c r="B35" s="5" t="s">
        <v>52</v>
      </c>
    </row>
    <row r="36" spans="2:3" x14ac:dyDescent="0.25">
      <c r="B36" s="12" t="s">
        <v>53</v>
      </c>
      <c r="C36" s="12" t="s">
        <v>54</v>
      </c>
    </row>
    <row r="37" ht="31" customHeight="1" spans="2:3" x14ac:dyDescent="0.25">
      <c r="B37" s="13" t="s">
        <v>55</v>
      </c>
      <c r="C37" s="14" t="s">
        <v>56</v>
      </c>
    </row>
    <row r="39" spans="2:2" x14ac:dyDescent="0.25">
      <c r="B39" s="5" t="s">
        <v>57</v>
      </c>
    </row>
    <row r="40" ht="18" customHeight="1" spans="2:3" x14ac:dyDescent="0.25">
      <c r="B40" s="2" t="s">
        <v>58</v>
      </c>
      <c r="C40" s="6" t="s">
        <v>59</v>
      </c>
    </row>
    <row r="41" ht="18" customHeight="1" spans="2:3" x14ac:dyDescent="0.25">
      <c r="B41" s="2" t="s">
        <v>60</v>
      </c>
      <c r="C41" s="6" t="s">
        <v>61</v>
      </c>
    </row>
    <row r="42" ht="31" customHeight="1" spans="2:3" x14ac:dyDescent="0.25">
      <c r="B42" s="2" t="s">
        <v>62</v>
      </c>
      <c r="C42" s="6" t="s">
        <v>63</v>
      </c>
    </row>
    <row r="43" ht="18" customHeight="1" spans="2:3" x14ac:dyDescent="0.25">
      <c r="B43" s="2" t="s">
        <v>64</v>
      </c>
      <c r="C43" s="6" t="s">
        <v>65</v>
      </c>
    </row>
    <row r="44" ht="18" customHeight="1" spans="2:3" x14ac:dyDescent="0.25">
      <c r="B44" s="2" t="s">
        <v>66</v>
      </c>
      <c r="C44" s="6" t="s">
        <v>67</v>
      </c>
    </row>
    <row r="45" ht="18" customHeight="1" spans="2:3" x14ac:dyDescent="0.25">
      <c r="B45" s="2" t="s">
        <v>68</v>
      </c>
      <c r="C45" s="6" t="s">
        <v>69</v>
      </c>
    </row>
    <row r="46" ht="18" customHeight="1" spans="2:3" x14ac:dyDescent="0.25">
      <c r="B46" s="2" t="s">
        <v>70</v>
      </c>
      <c r="C46" s="6" t="s">
        <v>71</v>
      </c>
    </row>
    <row r="47" ht="18" customHeight="1" spans="2:3" x14ac:dyDescent="0.25">
      <c r="B47" s="2" t="s">
        <v>72</v>
      </c>
      <c r="C47" s="6" t="s">
        <v>73</v>
      </c>
    </row>
    <row r="49" spans="2:2" x14ac:dyDescent="0.25">
      <c r="B49" s="5" t="s">
        <v>74</v>
      </c>
    </row>
    <row r="50" ht="44" customHeight="1" spans="2:3" x14ac:dyDescent="0.25">
      <c r="B50" s="2" t="s">
        <v>75</v>
      </c>
      <c r="C50" s="6" t="s">
        <v>76</v>
      </c>
    </row>
    <row r="51" ht="18" customHeight="1" spans="2:3" x14ac:dyDescent="0.25">
      <c r="B51" s="2" t="s">
        <v>77</v>
      </c>
      <c r="C51" s="6" t="s">
        <v>78</v>
      </c>
    </row>
    <row r="52" ht="31" customHeight="1" spans="2:3" x14ac:dyDescent="0.25">
      <c r="B52" s="2" t="s">
        <v>79</v>
      </c>
      <c r="C52" s="6" t="s">
        <v>80</v>
      </c>
    </row>
  </sheetData>
  <hyperlinks>
    <hyperlink ref="C3" r:id="rId1" location="#'Dashboard'!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6468"/>
    <pageSetUpPr fitToPage="1"/>
  </sheetPr>
  <dimension ref="A1:O26"/>
  <sheetViews>
    <sheetView workbookViewId="0" showGridLines="0">
      <pane ySplit="5" topLeftCell="A6" activePane="bottomLeft" state="frozen"/>
      <selection pane="bottomLeft"/>
    </sheetView>
  </sheetViews>
  <sheetFormatPr defaultRowHeight="15" outlineLevelRow="0" outlineLevelCol="0" x14ac:dyDescent="55"/>
  <cols>
    <col min="1" max="2" width="7" customWidth="1"/>
    <col min="3" max="3" width="34" customWidth="1"/>
    <col min="4" max="5" width="10" customWidth="1"/>
    <col min="6" max="7" width="8" customWidth="1"/>
    <col min="9" max="9" width="10" customWidth="1"/>
    <col min="10" max="10" width="13" customWidth="1"/>
    <col min="11" max="11" width="10" customWidth="1"/>
    <col min="12" max="12" width="8" customWidth="1"/>
    <col min="13" max="14" width="10" customWidth="1"/>
    <col min="15" max="15" width="70" customWidth="1"/>
  </cols>
  <sheetData>
    <row r="1" ht="30" customHeight="1" spans="1:15" x14ac:dyDescent="0.25">
      <c r="A1" s="1" t="s">
        <v>81</v>
      </c>
      <c r="B1" s="1"/>
      <c r="C1" s="1"/>
      <c r="D1" s="1"/>
      <c r="E1" s="1"/>
      <c r="F1" s="1"/>
      <c r="G1" s="1"/>
      <c r="H1" s="1"/>
      <c r="I1" s="1"/>
      <c r="J1" s="1"/>
      <c r="K1" s="1"/>
      <c r="L1" s="1"/>
      <c r="M1" s="1"/>
      <c r="N1" s="1"/>
      <c r="O1" s="1"/>
    </row>
    <row r="2" spans="1:15" x14ac:dyDescent="0.25">
      <c r="A2" s="15" t="s">
        <v>82</v>
      </c>
      <c r="B2" s="15"/>
      <c r="C2" s="15"/>
      <c r="D2" s="15"/>
      <c r="E2" s="15"/>
      <c r="F2" s="15"/>
      <c r="G2" s="15"/>
      <c r="H2" s="15"/>
      <c r="I2" s="15"/>
      <c r="J2" s="15"/>
      <c r="K2" s="15"/>
      <c r="L2" s="15"/>
      <c r="M2" s="15"/>
      <c r="N2" s="15"/>
      <c r="O2" s="15"/>
    </row>
    <row r="3" ht="20" customHeight="1" spans="1:14" x14ac:dyDescent="0.25">
      <c r="A3" s="16" t="s">
        <v>83</v>
      </c>
      <c r="C3" s="5" t="str">
        <f>IFERROR(INDEX($C$6:$C$25,MATCH("NOW",$L$6:$L$25,0)),"All milestones complete")</f>
        <v>Database Setup</v>
      </c>
      <c r="D3" s="5"/>
      <c r="E3" s="5"/>
      <c r="G3" s="17" t="s">
        <v>84</v>
      </c>
      <c r="I3" s="18">
        <f>IF(SUM(F6:F25)=0,0,SUM(G6:G25)/SUM(F6:F25))</f>
        <v>0.01444043321299639</v>
      </c>
      <c r="K3" s="17" t="s">
        <v>85</v>
      </c>
      <c r="N3" s="5">
        <f>COUNTIF('Open Decisions'!$F$5:$F$200,"Open")</f>
        <v>30</v>
      </c>
    </row>
    <row r="5" ht="30" customHeight="1" spans="1:15" x14ac:dyDescent="0.25">
      <c r="A5" s="19" t="s">
        <v>86</v>
      </c>
      <c r="B5" s="19" t="s">
        <v>87</v>
      </c>
      <c r="C5" s="19" t="s">
        <v>88</v>
      </c>
      <c r="D5" s="19" t="s">
        <v>89</v>
      </c>
      <c r="E5" s="19" t="s">
        <v>90</v>
      </c>
      <c r="F5" s="19" t="s">
        <v>91</v>
      </c>
      <c r="G5" s="19" t="s">
        <v>26</v>
      </c>
      <c r="H5" s="19" t="s">
        <v>24</v>
      </c>
      <c r="I5" s="19" t="s">
        <v>92</v>
      </c>
      <c r="J5" s="19" t="s">
        <v>93</v>
      </c>
      <c r="K5" s="19" t="s">
        <v>94</v>
      </c>
      <c r="L5" s="19" t="s">
        <v>95</v>
      </c>
      <c r="M5" s="19" t="s">
        <v>96</v>
      </c>
      <c r="N5" s="19" t="s">
        <v>97</v>
      </c>
      <c r="O5" s="19" t="s">
        <v>98</v>
      </c>
    </row>
    <row r="6" ht="33" customHeight="1" spans="1:15" x14ac:dyDescent="0.25">
      <c r="A6" s="20">
        <v>1</v>
      </c>
      <c r="B6" s="21" t="s">
        <v>75</v>
      </c>
      <c r="C6" s="22" t="s">
        <v>99</v>
      </c>
      <c r="D6" s="20" t="s">
        <v>100</v>
      </c>
      <c r="E6" s="20" t="s">
        <v>101</v>
      </c>
      <c r="F6" s="20">
        <f>'M01 Database'!$D$6</f>
        <v>15</v>
      </c>
      <c r="G6" s="20">
        <f>'M01 Database'!$F$6</f>
        <v>8</v>
      </c>
      <c r="H6" s="20">
        <f>'M01 Database'!$H$6</f>
        <v>0</v>
      </c>
      <c r="I6" s="23">
        <f>'M01 Database'!$B$6</f>
        <v>0.5333333333333333</v>
      </c>
      <c r="J6" s="20" t="str">
        <f>'M01 Database'!$J$6</f>
        <v>In progress</v>
      </c>
      <c r="K6" s="20" t="s">
        <v>102</v>
      </c>
      <c r="L6" s="20" t="str">
        <f>IF(AND(K6="Yes",I6&lt;1),"NOW","")</f>
        <v>NOW</v>
      </c>
      <c r="M6" s="20">
        <f>COUNTIFS('Open Decisions'!$D$5:$D$200,"*"&amp;B6&amp;"*",'Open Decisions'!$F$5:$F$200,"Open")</f>
        <v>1</v>
      </c>
      <c r="N6" s="20" t="s">
        <v>103</v>
      </c>
      <c r="O6" s="24" t="s">
        <v>104</v>
      </c>
    </row>
    <row r="7" ht="19" customHeight="1" spans="1:15" x14ac:dyDescent="0.25">
      <c r="A7" s="20">
        <v>2</v>
      </c>
      <c r="B7" s="21" t="s">
        <v>105</v>
      </c>
      <c r="C7" s="22" t="s">
        <v>106</v>
      </c>
      <c r="D7" s="20" t="s">
        <v>107</v>
      </c>
      <c r="E7" s="20" t="s">
        <v>75</v>
      </c>
      <c r="F7" s="20">
        <f>'M02 Platform'!$D$6</f>
        <v>33</v>
      </c>
      <c r="G7" s="20">
        <f>'M02 Platform'!$F$6</f>
        <v>0</v>
      </c>
      <c r="H7" s="20">
        <f>'M02 Platform'!$H$6</f>
        <v>0</v>
      </c>
      <c r="I7" s="23">
        <f>'M02 Platform'!$B$6</f>
        <v>0</v>
      </c>
      <c r="J7" s="20" t="str">
        <f>'M02 Platform'!$J$6</f>
        <v>Not started</v>
      </c>
      <c r="K7" s="20" t="str">
        <f>IF(I6=1,"Yes","No")</f>
        <v>No</v>
      </c>
      <c r="L7" s="20" t="str">
        <f>IF(AND(K7="Yes",I7&lt;1),"NOW","")</f>
        <v/>
      </c>
      <c r="M7" s="20">
        <f>COUNTIFS('Open Decisions'!$D$5:$D$200,"*"&amp;B7&amp;"*",'Open Decisions'!$F$5:$F$200,"Open")</f>
        <v>12</v>
      </c>
      <c r="N7" s="20" t="s">
        <v>108</v>
      </c>
      <c r="O7" s="24" t="s">
        <v>109</v>
      </c>
    </row>
    <row r="8" ht="47" customHeight="1" spans="1:15" x14ac:dyDescent="0.25">
      <c r="A8" s="20">
        <v>3</v>
      </c>
      <c r="B8" s="21" t="s">
        <v>110</v>
      </c>
      <c r="C8" s="22" t="s">
        <v>111</v>
      </c>
      <c r="D8" s="20" t="s">
        <v>112</v>
      </c>
      <c r="E8" s="20" t="s">
        <v>105</v>
      </c>
      <c r="F8" s="20">
        <f>'M03 Access'!$D$6</f>
        <v>32</v>
      </c>
      <c r="G8" s="20">
        <f>'M03 Access'!$F$6</f>
        <v>0</v>
      </c>
      <c r="H8" s="20">
        <f>'M03 Access'!$H$6</f>
        <v>0</v>
      </c>
      <c r="I8" s="23">
        <f>'M03 Access'!$B$6</f>
        <v>0</v>
      </c>
      <c r="J8" s="20" t="str">
        <f>'M03 Access'!$J$6</f>
        <v>Not started</v>
      </c>
      <c r="K8" s="20" t="str">
        <f>IF(I7=1,"Yes","No")</f>
        <v>No</v>
      </c>
      <c r="L8" s="20" t="str">
        <f>IF(AND(K8="Yes",I8&lt;1),"NOW","")</f>
        <v/>
      </c>
      <c r="M8" s="20">
        <f>COUNTIFS('Open Decisions'!$D$5:$D$200,"*"&amp;B8&amp;"*",'Open Decisions'!$F$5:$F$200,"Open")</f>
        <v>4</v>
      </c>
      <c r="N8" s="20" t="s">
        <v>113</v>
      </c>
      <c r="O8" s="24" t="s">
        <v>114</v>
      </c>
    </row>
    <row r="9" ht="33" customHeight="1" spans="1:15" x14ac:dyDescent="0.25">
      <c r="A9" s="20">
        <v>4</v>
      </c>
      <c r="B9" s="21" t="s">
        <v>115</v>
      </c>
      <c r="C9" s="22" t="s">
        <v>116</v>
      </c>
      <c r="D9" s="20" t="s">
        <v>117</v>
      </c>
      <c r="E9" s="20" t="s">
        <v>110</v>
      </c>
      <c r="F9" s="20">
        <f>'M04 Programme'!$D$6</f>
        <v>30</v>
      </c>
      <c r="G9" s="20">
        <f>'M04 Programme'!$F$6</f>
        <v>0</v>
      </c>
      <c r="H9" s="20">
        <f>'M04 Programme'!$H$6</f>
        <v>0</v>
      </c>
      <c r="I9" s="23">
        <f>'M04 Programme'!$B$6</f>
        <v>0</v>
      </c>
      <c r="J9" s="20" t="str">
        <f>'M04 Programme'!$J$6</f>
        <v>Not started</v>
      </c>
      <c r="K9" s="20" t="str">
        <f>IF(I8=1,"Yes","No")</f>
        <v>No</v>
      </c>
      <c r="L9" s="20" t="str">
        <f>IF(AND(K9="Yes",I9&lt;1),"NOW","")</f>
        <v/>
      </c>
      <c r="M9" s="20">
        <f>COUNTIFS('Open Decisions'!$D$5:$D$200,"*"&amp;B9&amp;"*",'Open Decisions'!$F$5:$F$200,"Open")</f>
        <v>2</v>
      </c>
      <c r="N9" s="20" t="s">
        <v>118</v>
      </c>
      <c r="O9" s="24" t="s">
        <v>119</v>
      </c>
    </row>
    <row r="10" ht="33" customHeight="1" spans="1:15" x14ac:dyDescent="0.25">
      <c r="A10" s="20">
        <v>5</v>
      </c>
      <c r="B10" s="21" t="s">
        <v>120</v>
      </c>
      <c r="C10" s="22" t="s">
        <v>121</v>
      </c>
      <c r="D10" s="20" t="s">
        <v>122</v>
      </c>
      <c r="E10" s="20" t="s">
        <v>115</v>
      </c>
      <c r="F10" s="20">
        <f>'M05 Reference'!$D$6</f>
        <v>26</v>
      </c>
      <c r="G10" s="20">
        <f>'M05 Reference'!$F$6</f>
        <v>0</v>
      </c>
      <c r="H10" s="20">
        <f>'M05 Reference'!$H$6</f>
        <v>0</v>
      </c>
      <c r="I10" s="23">
        <f>'M05 Reference'!$B$6</f>
        <v>0</v>
      </c>
      <c r="J10" s="20" t="str">
        <f>'M05 Reference'!$J$6</f>
        <v>Not started</v>
      </c>
      <c r="K10" s="20" t="str">
        <f>IF(I9=1,"Yes","No")</f>
        <v>No</v>
      </c>
      <c r="L10" s="20" t="str">
        <f>IF(AND(K10="Yes",I10&lt;1),"NOW","")</f>
        <v/>
      </c>
      <c r="M10" s="20">
        <f>COUNTIFS('Open Decisions'!$D$5:$D$200,"*"&amp;B10&amp;"*",'Open Decisions'!$F$5:$F$200,"Open")</f>
        <v>2</v>
      </c>
      <c r="N10" s="20" t="s">
        <v>123</v>
      </c>
      <c r="O10" s="24" t="s">
        <v>124</v>
      </c>
    </row>
    <row r="11" ht="47" customHeight="1" spans="1:15" x14ac:dyDescent="0.25">
      <c r="A11" s="20">
        <v>6</v>
      </c>
      <c r="B11" s="21" t="s">
        <v>125</v>
      </c>
      <c r="C11" s="22" t="s">
        <v>126</v>
      </c>
      <c r="D11" s="20" t="s">
        <v>127</v>
      </c>
      <c r="E11" s="20" t="s">
        <v>120</v>
      </c>
      <c r="F11" s="20">
        <f>'M06 Cohort'!$D$6</f>
        <v>27</v>
      </c>
      <c r="G11" s="20">
        <f>'M06 Cohort'!$F$6</f>
        <v>0</v>
      </c>
      <c r="H11" s="20">
        <f>'M06 Cohort'!$H$6</f>
        <v>0</v>
      </c>
      <c r="I11" s="23">
        <f>'M06 Cohort'!$B$6</f>
        <v>0</v>
      </c>
      <c r="J11" s="20" t="str">
        <f>'M06 Cohort'!$J$6</f>
        <v>Not started</v>
      </c>
      <c r="K11" s="20" t="str">
        <f>IF(I10=1,"Yes","No")</f>
        <v>No</v>
      </c>
      <c r="L11" s="20" t="str">
        <f>IF(AND(K11="Yes",I11&lt;1),"NOW","")</f>
        <v/>
      </c>
      <c r="M11" s="20">
        <f>COUNTIFS('Open Decisions'!$D$5:$D$200,"*"&amp;B11&amp;"*",'Open Decisions'!$F$5:$F$200,"Open")</f>
        <v>1</v>
      </c>
      <c r="N11" s="20" t="s">
        <v>128</v>
      </c>
      <c r="O11" s="24" t="s">
        <v>129</v>
      </c>
    </row>
    <row r="12" ht="33" customHeight="1" spans="1:15" x14ac:dyDescent="0.25">
      <c r="A12" s="20">
        <v>7</v>
      </c>
      <c r="B12" s="21" t="s">
        <v>130</v>
      </c>
      <c r="C12" s="22" t="s">
        <v>131</v>
      </c>
      <c r="D12" s="20" t="s">
        <v>132</v>
      </c>
      <c r="E12" s="20" t="s">
        <v>125</v>
      </c>
      <c r="F12" s="20">
        <f>'M07 Enrolment'!$D$6</f>
        <v>38</v>
      </c>
      <c r="G12" s="20">
        <f>'M07 Enrolment'!$F$6</f>
        <v>0</v>
      </c>
      <c r="H12" s="20">
        <f>'M07 Enrolment'!$H$6</f>
        <v>0</v>
      </c>
      <c r="I12" s="23">
        <f>'M07 Enrolment'!$B$6</f>
        <v>0</v>
      </c>
      <c r="J12" s="20" t="str">
        <f>'M07 Enrolment'!$J$6</f>
        <v>Not started</v>
      </c>
      <c r="K12" s="20" t="str">
        <f>IF(I11=1,"Yes","No")</f>
        <v>No</v>
      </c>
      <c r="L12" s="20" t="str">
        <f>IF(AND(K12="Yes",I12&lt;1),"NOW","")</f>
        <v/>
      </c>
      <c r="M12" s="20">
        <f>COUNTIFS('Open Decisions'!$D$5:$D$200,"*"&amp;B12&amp;"*",'Open Decisions'!$F$5:$F$200,"Open")</f>
        <v>3</v>
      </c>
      <c r="N12" s="20" t="s">
        <v>133</v>
      </c>
      <c r="O12" s="24" t="s">
        <v>134</v>
      </c>
    </row>
    <row r="13" ht="33" customHeight="1" spans="1:15" x14ac:dyDescent="0.25">
      <c r="A13" s="20">
        <v>8</v>
      </c>
      <c r="B13" s="21" t="s">
        <v>135</v>
      </c>
      <c r="C13" s="22" t="s">
        <v>136</v>
      </c>
      <c r="D13" s="20" t="s">
        <v>137</v>
      </c>
      <c r="E13" s="20" t="s">
        <v>130</v>
      </c>
      <c r="F13" s="20">
        <f>'M08 Assessment'!$D$6</f>
        <v>29</v>
      </c>
      <c r="G13" s="20">
        <f>'M08 Assessment'!$F$6</f>
        <v>0</v>
      </c>
      <c r="H13" s="20">
        <f>'M08 Assessment'!$H$6</f>
        <v>0</v>
      </c>
      <c r="I13" s="23">
        <f>'M08 Assessment'!$B$6</f>
        <v>0</v>
      </c>
      <c r="J13" s="20" t="str">
        <f>'M08 Assessment'!$J$6</f>
        <v>Not started</v>
      </c>
      <c r="K13" s="20" t="str">
        <f>IF(I12=1,"Yes","No")</f>
        <v>No</v>
      </c>
      <c r="L13" s="20" t="str">
        <f>IF(AND(K13="Yes",I13&lt;1),"NOW","")</f>
        <v/>
      </c>
      <c r="M13" s="20">
        <f>COUNTIFS('Open Decisions'!$D$5:$D$200,"*"&amp;B13&amp;"*",'Open Decisions'!$F$5:$F$200,"Open")</f>
        <v>2</v>
      </c>
      <c r="N13" s="20" t="s">
        <v>138</v>
      </c>
      <c r="O13" s="24" t="s">
        <v>139</v>
      </c>
    </row>
    <row r="14" ht="33" customHeight="1" spans="1:15" x14ac:dyDescent="0.25">
      <c r="A14" s="20">
        <v>9</v>
      </c>
      <c r="B14" s="21" t="s">
        <v>140</v>
      </c>
      <c r="C14" s="22" t="s">
        <v>141</v>
      </c>
      <c r="D14" s="20" t="s">
        <v>142</v>
      </c>
      <c r="E14" s="20" t="s">
        <v>135</v>
      </c>
      <c r="F14" s="20">
        <f>'M09 Care Plan'!$D$6</f>
        <v>32</v>
      </c>
      <c r="G14" s="20">
        <f>'M09 Care Plan'!$F$6</f>
        <v>0</v>
      </c>
      <c r="H14" s="20">
        <f>'M09 Care Plan'!$H$6</f>
        <v>0</v>
      </c>
      <c r="I14" s="23">
        <f>'M09 Care Plan'!$B$6</f>
        <v>0</v>
      </c>
      <c r="J14" s="20" t="str">
        <f>'M09 Care Plan'!$J$6</f>
        <v>Not started</v>
      </c>
      <c r="K14" s="20" t="str">
        <f>IF(I13=1,"Yes","No")</f>
        <v>No</v>
      </c>
      <c r="L14" s="20" t="str">
        <f>IF(AND(K14="Yes",I14&lt;1),"NOW","")</f>
        <v/>
      </c>
      <c r="M14" s="20">
        <f>COUNTIFS('Open Decisions'!$D$5:$D$200,"*"&amp;B14&amp;"*",'Open Decisions'!$F$5:$F$200,"Open")</f>
        <v>3</v>
      </c>
      <c r="N14" s="20" t="s">
        <v>143</v>
      </c>
      <c r="O14" s="24" t="s">
        <v>144</v>
      </c>
    </row>
    <row r="15" ht="33" customHeight="1" spans="1:15" x14ac:dyDescent="0.25">
      <c r="A15" s="20">
        <v>10</v>
      </c>
      <c r="B15" s="21" t="s">
        <v>145</v>
      </c>
      <c r="C15" s="22" t="s">
        <v>146</v>
      </c>
      <c r="D15" s="20" t="s">
        <v>147</v>
      </c>
      <c r="E15" s="20" t="s">
        <v>140</v>
      </c>
      <c r="F15" s="20">
        <f>'M10 Care Work'!$D$6</f>
        <v>32</v>
      </c>
      <c r="G15" s="20">
        <f>'M10 Care Work'!$F$6</f>
        <v>0</v>
      </c>
      <c r="H15" s="20">
        <f>'M10 Care Work'!$H$6</f>
        <v>0</v>
      </c>
      <c r="I15" s="23">
        <f>'M10 Care Work'!$B$6</f>
        <v>0</v>
      </c>
      <c r="J15" s="20" t="str">
        <f>'M10 Care Work'!$J$6</f>
        <v>Not started</v>
      </c>
      <c r="K15" s="20" t="str">
        <f>IF(I14=1,"Yes","No")</f>
        <v>No</v>
      </c>
      <c r="L15" s="20" t="str">
        <f>IF(AND(K15="Yes",I15&lt;1),"NOW","")</f>
        <v/>
      </c>
      <c r="M15" s="20">
        <f>COUNTIFS('Open Decisions'!$D$5:$D$200,"*"&amp;B15&amp;"*",'Open Decisions'!$F$5:$F$200,"Open")</f>
        <v>2</v>
      </c>
      <c r="N15" s="20" t="s">
        <v>148</v>
      </c>
      <c r="O15" s="24" t="s">
        <v>149</v>
      </c>
    </row>
    <row r="16" ht="33" customHeight="1" spans="1:15" x14ac:dyDescent="0.25">
      <c r="A16" s="20">
        <v>11</v>
      </c>
      <c r="B16" s="21" t="s">
        <v>150</v>
      </c>
      <c r="C16" s="22" t="s">
        <v>151</v>
      </c>
      <c r="D16" s="20" t="s">
        <v>152</v>
      </c>
      <c r="E16" s="20" t="s">
        <v>145</v>
      </c>
      <c r="F16" s="20">
        <f>'M11 Referral'!$D$6</f>
        <v>30</v>
      </c>
      <c r="G16" s="20">
        <f>'M11 Referral'!$F$6</f>
        <v>0</v>
      </c>
      <c r="H16" s="20">
        <f>'M11 Referral'!$H$6</f>
        <v>0</v>
      </c>
      <c r="I16" s="23">
        <f>'M11 Referral'!$B$6</f>
        <v>0</v>
      </c>
      <c r="J16" s="20" t="str">
        <f>'M11 Referral'!$J$6</f>
        <v>Not started</v>
      </c>
      <c r="K16" s="20" t="str">
        <f>IF(I15=1,"Yes","No")</f>
        <v>No</v>
      </c>
      <c r="L16" s="20" t="str">
        <f>IF(AND(K16="Yes",I16&lt;1),"NOW","")</f>
        <v/>
      </c>
      <c r="M16" s="20">
        <f>COUNTIFS('Open Decisions'!$D$5:$D$200,"*"&amp;B16&amp;"*",'Open Decisions'!$F$5:$F$200,"Open")</f>
        <v>1</v>
      </c>
      <c r="N16" s="20" t="s">
        <v>153</v>
      </c>
      <c r="O16" s="24" t="s">
        <v>154</v>
      </c>
    </row>
    <row r="17" ht="33" customHeight="1" spans="1:15" x14ac:dyDescent="0.25">
      <c r="A17" s="20">
        <v>12</v>
      </c>
      <c r="B17" s="21" t="s">
        <v>155</v>
      </c>
      <c r="C17" s="22" t="s">
        <v>156</v>
      </c>
      <c r="D17" s="20" t="s">
        <v>157</v>
      </c>
      <c r="E17" s="20" t="s">
        <v>150</v>
      </c>
      <c r="F17" s="20">
        <f>'M12 Medication'!$D$6</f>
        <v>26</v>
      </c>
      <c r="G17" s="20">
        <f>'M12 Medication'!$F$6</f>
        <v>0</v>
      </c>
      <c r="H17" s="20">
        <f>'M12 Medication'!$H$6</f>
        <v>0</v>
      </c>
      <c r="I17" s="23">
        <f>'M12 Medication'!$B$6</f>
        <v>0</v>
      </c>
      <c r="J17" s="20" t="str">
        <f>'M12 Medication'!$J$6</f>
        <v>Not started</v>
      </c>
      <c r="K17" s="20" t="str">
        <f>IF(I16=1,"Yes","No")</f>
        <v>No</v>
      </c>
      <c r="L17" s="20" t="str">
        <f>IF(AND(K17="Yes",I17&lt;1),"NOW","")</f>
        <v/>
      </c>
      <c r="M17" s="20">
        <f>COUNTIFS('Open Decisions'!$D$5:$D$200,"*"&amp;B17&amp;"*",'Open Decisions'!$F$5:$F$200,"Open")</f>
        <v>0</v>
      </c>
      <c r="N17" s="20" t="s">
        <v>158</v>
      </c>
      <c r="O17" s="24" t="s">
        <v>159</v>
      </c>
    </row>
    <row r="18" ht="19" customHeight="1" spans="1:15" x14ac:dyDescent="0.25">
      <c r="A18" s="20">
        <v>13</v>
      </c>
      <c r="B18" s="21" t="s">
        <v>160</v>
      </c>
      <c r="C18" s="22" t="s">
        <v>161</v>
      </c>
      <c r="D18" s="20" t="s">
        <v>162</v>
      </c>
      <c r="E18" s="20" t="s">
        <v>155</v>
      </c>
      <c r="F18" s="20">
        <f>'M13 Observation'!$D$6</f>
        <v>29</v>
      </c>
      <c r="G18" s="20">
        <f>'M13 Observation'!$F$6</f>
        <v>0</v>
      </c>
      <c r="H18" s="20">
        <f>'M13 Observation'!$H$6</f>
        <v>0</v>
      </c>
      <c r="I18" s="23">
        <f>'M13 Observation'!$B$6</f>
        <v>0</v>
      </c>
      <c r="J18" s="20" t="str">
        <f>'M13 Observation'!$J$6</f>
        <v>Not started</v>
      </c>
      <c r="K18" s="20" t="str">
        <f>IF(I17=1,"Yes","No")</f>
        <v>No</v>
      </c>
      <c r="L18" s="20" t="str">
        <f>IF(AND(K18="Yes",I18&lt;1),"NOW","")</f>
        <v/>
      </c>
      <c r="M18" s="20">
        <f>COUNTIFS('Open Decisions'!$D$5:$D$200,"*"&amp;B18&amp;"*",'Open Decisions'!$F$5:$F$200,"Open")</f>
        <v>4</v>
      </c>
      <c r="N18" s="20" t="s">
        <v>163</v>
      </c>
      <c r="O18" s="24" t="s">
        <v>164</v>
      </c>
    </row>
    <row r="19" ht="33" customHeight="1" spans="1:15" x14ac:dyDescent="0.25">
      <c r="A19" s="20">
        <v>14</v>
      </c>
      <c r="B19" s="21" t="s">
        <v>165</v>
      </c>
      <c r="C19" s="22" t="s">
        <v>166</v>
      </c>
      <c r="D19" s="20" t="s">
        <v>167</v>
      </c>
      <c r="E19" s="20" t="s">
        <v>160</v>
      </c>
      <c r="F19" s="20">
        <f>'M14 Care Gaps'!$D$6</f>
        <v>27</v>
      </c>
      <c r="G19" s="20">
        <f>'M14 Care Gaps'!$F$6</f>
        <v>0</v>
      </c>
      <c r="H19" s="20">
        <f>'M14 Care Gaps'!$H$6</f>
        <v>0</v>
      </c>
      <c r="I19" s="23">
        <f>'M14 Care Gaps'!$B$6</f>
        <v>0</v>
      </c>
      <c r="J19" s="20" t="str">
        <f>'M14 Care Gaps'!$J$6</f>
        <v>Not started</v>
      </c>
      <c r="K19" s="20" t="str">
        <f>IF(I18=1,"Yes","No")</f>
        <v>No</v>
      </c>
      <c r="L19" s="20" t="str">
        <f>IF(AND(K19="Yes",I19&lt;1),"NOW","")</f>
        <v/>
      </c>
      <c r="M19" s="20">
        <f>COUNTIFS('Open Decisions'!$D$5:$D$200,"*"&amp;B19&amp;"*",'Open Decisions'!$F$5:$F$200,"Open")</f>
        <v>1</v>
      </c>
      <c r="N19" s="20" t="s">
        <v>168</v>
      </c>
      <c r="O19" s="24" t="s">
        <v>169</v>
      </c>
    </row>
    <row r="20" ht="33" customHeight="1" spans="1:15" x14ac:dyDescent="0.25">
      <c r="A20" s="20">
        <v>15</v>
      </c>
      <c r="B20" s="21" t="s">
        <v>170</v>
      </c>
      <c r="C20" s="22" t="s">
        <v>171</v>
      </c>
      <c r="D20" s="20" t="s">
        <v>172</v>
      </c>
      <c r="E20" s="20" t="s">
        <v>165</v>
      </c>
      <c r="F20" s="20">
        <f>'M15 Engagement'!$D$6</f>
        <v>34</v>
      </c>
      <c r="G20" s="20">
        <f>'M15 Engagement'!$F$6</f>
        <v>0</v>
      </c>
      <c r="H20" s="20">
        <f>'M15 Engagement'!$H$6</f>
        <v>0</v>
      </c>
      <c r="I20" s="23">
        <f>'M15 Engagement'!$B$6</f>
        <v>0</v>
      </c>
      <c r="J20" s="20" t="str">
        <f>'M15 Engagement'!$J$6</f>
        <v>Not started</v>
      </c>
      <c r="K20" s="20" t="str">
        <f>IF(I19=1,"Yes","No")</f>
        <v>No</v>
      </c>
      <c r="L20" s="20" t="str">
        <f>IF(AND(K20="Yes",I20&lt;1),"NOW","")</f>
        <v/>
      </c>
      <c r="M20" s="20">
        <f>COUNTIFS('Open Decisions'!$D$5:$D$200,"*"&amp;B20&amp;"*",'Open Decisions'!$F$5:$F$200,"Open")</f>
        <v>3</v>
      </c>
      <c r="N20" s="20" t="s">
        <v>173</v>
      </c>
      <c r="O20" s="24" t="s">
        <v>174</v>
      </c>
    </row>
    <row r="21" ht="33" customHeight="1" spans="1:15" x14ac:dyDescent="0.25">
      <c r="A21" s="20">
        <v>16</v>
      </c>
      <c r="B21" s="21" t="s">
        <v>175</v>
      </c>
      <c r="C21" s="22" t="s">
        <v>176</v>
      </c>
      <c r="D21" s="20" t="s">
        <v>177</v>
      </c>
      <c r="E21" s="20" t="s">
        <v>170</v>
      </c>
      <c r="F21" s="20">
        <f>'M16 Outcomes'!$D$6</f>
        <v>26</v>
      </c>
      <c r="G21" s="20">
        <f>'M16 Outcomes'!$F$6</f>
        <v>0</v>
      </c>
      <c r="H21" s="20">
        <f>'M16 Outcomes'!$H$6</f>
        <v>0</v>
      </c>
      <c r="I21" s="23">
        <f>'M16 Outcomes'!$B$6</f>
        <v>0</v>
      </c>
      <c r="J21" s="20" t="str">
        <f>'M16 Outcomes'!$J$6</f>
        <v>Not started</v>
      </c>
      <c r="K21" s="20" t="str">
        <f>IF(I20=1,"Yes","No")</f>
        <v>No</v>
      </c>
      <c r="L21" s="20" t="str">
        <f>IF(AND(K21="Yes",I21&lt;1),"NOW","")</f>
        <v/>
      </c>
      <c r="M21" s="20">
        <f>COUNTIFS('Open Decisions'!$D$5:$D$200,"*"&amp;B21&amp;"*",'Open Decisions'!$F$5:$F$200,"Open")</f>
        <v>0</v>
      </c>
      <c r="N21" s="20" t="s">
        <v>178</v>
      </c>
      <c r="O21" s="24" t="s">
        <v>179</v>
      </c>
    </row>
    <row r="22" ht="33" customHeight="1" spans="1:15" x14ac:dyDescent="0.25">
      <c r="A22" s="20">
        <v>17</v>
      </c>
      <c r="B22" s="21" t="s">
        <v>180</v>
      </c>
      <c r="C22" s="22" t="s">
        <v>181</v>
      </c>
      <c r="D22" s="20" t="s">
        <v>182</v>
      </c>
      <c r="E22" s="20" t="s">
        <v>175</v>
      </c>
      <c r="F22" s="20">
        <f>'M17 Audit'!$D$6</f>
        <v>25</v>
      </c>
      <c r="G22" s="20">
        <f>'M17 Audit'!$F$6</f>
        <v>0</v>
      </c>
      <c r="H22" s="20">
        <f>'M17 Audit'!$H$6</f>
        <v>0</v>
      </c>
      <c r="I22" s="23">
        <f>'M17 Audit'!$B$6</f>
        <v>0</v>
      </c>
      <c r="J22" s="20" t="str">
        <f>'M17 Audit'!$J$6</f>
        <v>Not started</v>
      </c>
      <c r="K22" s="20" t="str">
        <f>IF(I21=1,"Yes","No")</f>
        <v>No</v>
      </c>
      <c r="L22" s="20" t="str">
        <f>IF(AND(K22="Yes",I22&lt;1),"NOW","")</f>
        <v/>
      </c>
      <c r="M22" s="20">
        <f>COUNTIFS('Open Decisions'!$D$5:$D$200,"*"&amp;B22&amp;"*",'Open Decisions'!$F$5:$F$200,"Open")</f>
        <v>1</v>
      </c>
      <c r="N22" s="20" t="s">
        <v>183</v>
      </c>
      <c r="O22" s="24" t="s">
        <v>184</v>
      </c>
    </row>
    <row r="23" ht="33" customHeight="1" spans="1:15" x14ac:dyDescent="0.25">
      <c r="A23" s="20">
        <v>18</v>
      </c>
      <c r="B23" s="21" t="s">
        <v>185</v>
      </c>
      <c r="C23" s="22" t="s">
        <v>186</v>
      </c>
      <c r="D23" s="20" t="s">
        <v>187</v>
      </c>
      <c r="E23" s="20" t="s">
        <v>180</v>
      </c>
      <c r="F23" s="20">
        <f>'M18 Integration'!$D$6</f>
        <v>27</v>
      </c>
      <c r="G23" s="20">
        <f>'M18 Integration'!$F$6</f>
        <v>0</v>
      </c>
      <c r="H23" s="20">
        <f>'M18 Integration'!$H$6</f>
        <v>0</v>
      </c>
      <c r="I23" s="23">
        <f>'M18 Integration'!$B$6</f>
        <v>0</v>
      </c>
      <c r="J23" s="20" t="str">
        <f>'M18 Integration'!$J$6</f>
        <v>Not started</v>
      </c>
      <c r="K23" s="20" t="str">
        <f>IF(I22=1,"Yes","No")</f>
        <v>No</v>
      </c>
      <c r="L23" s="20" t="str">
        <f>IF(AND(K23="Yes",I23&lt;1),"NOW","")</f>
        <v/>
      </c>
      <c r="M23" s="20">
        <f>COUNTIFS('Open Decisions'!$D$5:$D$200,"*"&amp;B23&amp;"*",'Open Decisions'!$F$5:$F$200,"Open")</f>
        <v>3</v>
      </c>
      <c r="N23" s="20" t="s">
        <v>188</v>
      </c>
      <c r="O23" s="24" t="s">
        <v>189</v>
      </c>
    </row>
    <row r="24" ht="33" customHeight="1" spans="1:15" x14ac:dyDescent="0.25">
      <c r="A24" s="20">
        <v>19</v>
      </c>
      <c r="B24" s="21" t="s">
        <v>190</v>
      </c>
      <c r="C24" s="22" t="s">
        <v>191</v>
      </c>
      <c r="D24" s="20" t="s">
        <v>192</v>
      </c>
      <c r="E24" s="20" t="s">
        <v>185</v>
      </c>
      <c r="F24" s="20">
        <f>'M19 AI'!$D$6</f>
        <v>21</v>
      </c>
      <c r="G24" s="20">
        <f>'M19 AI'!$F$6</f>
        <v>0</v>
      </c>
      <c r="H24" s="20">
        <f>'M19 AI'!$H$6</f>
        <v>0</v>
      </c>
      <c r="I24" s="23">
        <f>'M19 AI'!$B$6</f>
        <v>0</v>
      </c>
      <c r="J24" s="20" t="str">
        <f>'M19 AI'!$J$6</f>
        <v>Not started</v>
      </c>
      <c r="K24" s="20" t="str">
        <f>IF(I23=1,"Yes","No")</f>
        <v>No</v>
      </c>
      <c r="L24" s="20" t="str">
        <f>IF(AND(K24="Yes",I24&lt;1),"NOW","")</f>
        <v/>
      </c>
      <c r="M24" s="20">
        <f>COUNTIFS('Open Decisions'!$D$5:$D$200,"*"&amp;B24&amp;"*",'Open Decisions'!$F$5:$F$200,"Open")</f>
        <v>0</v>
      </c>
      <c r="N24" s="20" t="s">
        <v>193</v>
      </c>
      <c r="O24" s="24" t="s">
        <v>194</v>
      </c>
    </row>
    <row r="25" ht="33" customHeight="1" spans="1:15" x14ac:dyDescent="0.25">
      <c r="A25" s="20">
        <v>20</v>
      </c>
      <c r="B25" s="21" t="s">
        <v>195</v>
      </c>
      <c r="C25" s="22" t="s">
        <v>196</v>
      </c>
      <c r="D25" s="20" t="s">
        <v>197</v>
      </c>
      <c r="E25" s="20" t="s">
        <v>190</v>
      </c>
      <c r="F25" s="20">
        <f>'M20 Acceptance'!$D$6</f>
        <v>15</v>
      </c>
      <c r="G25" s="20">
        <f>'M20 Acceptance'!$F$6</f>
        <v>0</v>
      </c>
      <c r="H25" s="20">
        <f>'M20 Acceptance'!$H$6</f>
        <v>0</v>
      </c>
      <c r="I25" s="23">
        <f>'M20 Acceptance'!$B$6</f>
        <v>0</v>
      </c>
      <c r="J25" s="20" t="str">
        <f>'M20 Acceptance'!$J$6</f>
        <v>Not started</v>
      </c>
      <c r="K25" s="20" t="str">
        <f>IF(I24=1,"Yes","No")</f>
        <v>No</v>
      </c>
      <c r="L25" s="20" t="str">
        <f>IF(AND(K25="Yes",I25&lt;1),"NOW","")</f>
        <v/>
      </c>
      <c r="M25" s="20">
        <f>COUNTIFS('Open Decisions'!$D$5:$D$200,"*"&amp;B25&amp;"*",'Open Decisions'!$F$5:$F$200,"Open")</f>
        <v>3</v>
      </c>
      <c r="N25" s="20" t="s">
        <v>198</v>
      </c>
      <c r="O25" s="24" t="s">
        <v>199</v>
      </c>
    </row>
    <row r="26" spans="3:9" x14ac:dyDescent="0.25">
      <c r="C26" s="25" t="s">
        <v>200</v>
      </c>
      <c r="F26" s="25">
        <f>SUM(F6:F25)</f>
        <v>554</v>
      </c>
      <c r="G26" s="25">
        <f>SUM(G6:G25)</f>
        <v>8</v>
      </c>
      <c r="H26" s="25">
        <f>SUM(H6:H25)</f>
        <v>0</v>
      </c>
      <c r="I26" s="26">
        <f>I3</f>
        <v>0.01444043321299639</v>
      </c>
    </row>
  </sheetData>
  <mergeCells count="3">
    <mergeCell ref="A1:O1"/>
    <mergeCell ref="A2:O2"/>
    <mergeCell ref="C3:E3"/>
  </mergeCells>
  <conditionalFormatting sqref="J6:J25">
    <cfRule type="cellIs" dxfId="0" priority="1" operator="equal">
      <formula>"Done"</formula>
    </cfRule>
    <cfRule type="cellIs" dxfId="1" priority="2" operator="equal">
      <formula>"Complete"</formula>
    </cfRule>
    <cfRule type="cellIs" dxfId="2" priority="3" operator="equal">
      <formula>"In progress"</formula>
    </cfRule>
    <cfRule type="cellIs" dxfId="3" priority="4" operator="equal">
      <formula>"Blocked"</formula>
    </cfRule>
    <cfRule type="cellIs" dxfId="4" priority="5" operator="equal">
      <formula>"N/A"</formula>
    </cfRule>
    <cfRule type="cellIs" dxfId="5" priority="6" operator="equal">
      <formula>"Decided"</formula>
    </cfRule>
    <cfRule type="cellIs" dxfId="6" priority="7" operator="equal">
      <formula>"Open"</formula>
    </cfRule>
  </conditionalFormatting>
  <conditionalFormatting sqref="K6:K25">
    <cfRule type="cellIs" dxfId="7" priority="8" operator="equal">
      <formula>"Yes"</formula>
    </cfRule>
    <cfRule type="cellIs" dxfId="8" priority="9" operator="equal">
      <formula>"No"</formula>
    </cfRule>
  </conditionalFormatting>
  <conditionalFormatting sqref="L6:L25">
    <cfRule type="cellIs" dxfId="9" priority="10" operator="equal">
      <formula>"NOW"</formula>
    </cfRule>
  </conditionalFormatting>
  <hyperlinks>
    <hyperlink ref="C6" r:id="rId1" location="#'M01 Database'!A1"/>
    <hyperlink ref="C7" r:id="rId2" location="#'M02 Platform'!A1"/>
    <hyperlink ref="C8" r:id="rId3" location="#'M03 Access'!A1"/>
    <hyperlink ref="C9" r:id="rId4" location="#'M04 Programme'!A1"/>
    <hyperlink ref="C10" r:id="rId5" location="#'M05 Reference'!A1"/>
    <hyperlink ref="C11" r:id="rId6" location="#'M06 Cohort'!A1"/>
    <hyperlink ref="C12" r:id="rId7" location="#'M07 Enrolment'!A1"/>
    <hyperlink ref="C13" r:id="rId8" location="#'M08 Assessment'!A1"/>
    <hyperlink ref="C14" r:id="rId9" location="#'M09 Care Plan'!A1"/>
    <hyperlink ref="C15" r:id="rId10" location="#'M10 Care Work'!A1"/>
    <hyperlink ref="C16" r:id="rId11" location="#'M11 Referral'!A1"/>
    <hyperlink ref="C17" r:id="rId12" location="#'M12 Medication'!A1"/>
    <hyperlink ref="C18" r:id="rId13" location="#'M13 Observation'!A1"/>
    <hyperlink ref="C19" r:id="rId14" location="#'M14 Care Gaps'!A1"/>
    <hyperlink ref="C20" r:id="rId15" location="#'M15 Engagement'!A1"/>
    <hyperlink ref="C21" r:id="rId16" location="#'M16 Outcomes'!A1"/>
    <hyperlink ref="C22" r:id="rId17" location="#'M17 Audit'!A1"/>
    <hyperlink ref="C23" r:id="rId18" location="#'M18 Integration'!A1"/>
    <hyperlink ref="C24" r:id="rId19" location="#'M19 AI'!A1"/>
    <hyperlink ref="C25" r:id="rId20" location="#'M20 Acceptance'!A1"/>
  </hyperlink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38"/>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201</v>
      </c>
      <c r="B1" s="27"/>
      <c r="C1" s="27"/>
      <c r="D1" s="27"/>
      <c r="E1" s="27"/>
      <c r="F1" s="27"/>
      <c r="G1" s="27"/>
      <c r="H1" s="27"/>
      <c r="I1" s="27"/>
      <c r="J1" s="28" t="s">
        <v>202</v>
      </c>
    </row>
    <row r="2" ht="17" customHeight="1" spans="1:10" x14ac:dyDescent="0.25">
      <c r="A2" s="29" t="s">
        <v>203</v>
      </c>
      <c r="B2" s="6" t="s">
        <v>204</v>
      </c>
      <c r="C2" s="6"/>
      <c r="D2" s="6"/>
      <c r="E2" s="6"/>
      <c r="F2" s="6"/>
      <c r="G2" s="6"/>
      <c r="H2" s="6"/>
      <c r="I2" s="6"/>
      <c r="J2" s="6"/>
    </row>
    <row r="3" ht="17" customHeight="1" spans="1:10" x14ac:dyDescent="0.25">
      <c r="A3" s="29" t="s">
        <v>205</v>
      </c>
      <c r="B3" s="6" t="s">
        <v>206</v>
      </c>
      <c r="C3" s="6"/>
      <c r="D3" s="6"/>
      <c r="E3" s="6"/>
      <c r="F3" s="6"/>
      <c r="G3" s="6"/>
      <c r="H3" s="6"/>
      <c r="I3" s="6"/>
      <c r="J3" s="6"/>
    </row>
    <row r="4" ht="17" customHeight="1" spans="1:10" x14ac:dyDescent="0.25">
      <c r="A4" s="29" t="s">
        <v>207</v>
      </c>
      <c r="B4" s="6" t="s">
        <v>208</v>
      </c>
      <c r="C4" s="6"/>
      <c r="D4" s="6"/>
      <c r="E4" s="6"/>
      <c r="F4" s="6"/>
      <c r="G4" s="6"/>
      <c r="H4" s="6"/>
      <c r="I4" s="6"/>
      <c r="J4" s="6"/>
    </row>
    <row r="5" ht="17" customHeight="1" spans="1:10" x14ac:dyDescent="0.25">
      <c r="A5" s="29" t="s">
        <v>98</v>
      </c>
      <c r="B5" s="2" t="s">
        <v>104</v>
      </c>
      <c r="C5" s="2"/>
      <c r="D5" s="2"/>
      <c r="E5" s="2"/>
      <c r="F5" s="2"/>
      <c r="G5" s="2"/>
      <c r="H5" s="2"/>
      <c r="I5" s="2"/>
      <c r="J5" s="2"/>
    </row>
    <row r="6" spans="1:10" x14ac:dyDescent="0.25">
      <c r="A6" s="17" t="s">
        <v>92</v>
      </c>
      <c r="B6" s="30">
        <f>IF(D6=0,0,F6/D6)</f>
        <v>0.5333333333333333</v>
      </c>
      <c r="C6" s="17" t="s">
        <v>91</v>
      </c>
      <c r="D6" s="31">
        <f>COUNTA(C9:C400)</f>
        <v>15</v>
      </c>
      <c r="E6" s="17" t="s">
        <v>209</v>
      </c>
      <c r="F6" s="31">
        <f>COUNTIF(G9:G400,"Done")+COUNTIF(G9:G400,"N/A")</f>
        <v>8</v>
      </c>
      <c r="G6" s="17" t="s">
        <v>24</v>
      </c>
      <c r="H6" s="31">
        <f>COUNTIF(G9:G400,"Blocked")</f>
        <v>0</v>
      </c>
      <c r="I6" s="17" t="s">
        <v>93</v>
      </c>
      <c r="J6" s="31" t="str">
        <f>IF(B6=1,"Complete",IF(H6&gt;0,"Blocked",IF(F6+COUNTIF(G9:G400,"In progress")=0,"Not started","In progress")))</f>
        <v>In progress</v>
      </c>
    </row>
    <row r="7" ht="20" customHeight="1" spans="1:10" x14ac:dyDescent="0.25">
      <c r="A7" s="32" t="s">
        <v>210</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221</v>
      </c>
      <c r="B9" s="34" t="s">
        <v>31</v>
      </c>
      <c r="C9" s="35" t="s">
        <v>222</v>
      </c>
      <c r="D9" s="36" t="s">
        <v>223</v>
      </c>
      <c r="E9" s="34" t="s">
        <v>224</v>
      </c>
      <c r="F9" s="37" t="s">
        <v>225</v>
      </c>
      <c r="G9" s="38" t="s">
        <v>26</v>
      </c>
      <c r="H9" s="38" t="s">
        <v>1</v>
      </c>
      <c r="I9" s="39"/>
      <c r="J9" s="40" t="s">
        <v>226</v>
      </c>
    </row>
    <row r="10" ht="34" customHeight="1" spans="1:10" x14ac:dyDescent="0.25">
      <c r="A10" s="33" t="s">
        <v>227</v>
      </c>
      <c r="B10" s="34" t="s">
        <v>31</v>
      </c>
      <c r="C10" s="35" t="s">
        <v>228</v>
      </c>
      <c r="D10" s="36" t="s">
        <v>229</v>
      </c>
      <c r="E10" s="34" t="s">
        <v>224</v>
      </c>
      <c r="F10" s="37" t="s">
        <v>230</v>
      </c>
      <c r="G10" s="38" t="s">
        <v>20</v>
      </c>
      <c r="H10" s="38" t="s">
        <v>1</v>
      </c>
      <c r="I10" s="39"/>
      <c r="J10" s="40" t="s">
        <v>1</v>
      </c>
    </row>
    <row r="11" ht="34" customHeight="1" spans="1:10" x14ac:dyDescent="0.25">
      <c r="A11" s="41" t="s">
        <v>231</v>
      </c>
      <c r="B11" s="20" t="s">
        <v>33</v>
      </c>
      <c r="C11" s="42" t="s">
        <v>232</v>
      </c>
      <c r="D11" s="24" t="s">
        <v>233</v>
      </c>
      <c r="E11" s="20" t="s">
        <v>234</v>
      </c>
      <c r="F11" s="43" t="s">
        <v>235</v>
      </c>
      <c r="G11" s="38" t="s">
        <v>26</v>
      </c>
      <c r="H11" s="38" t="s">
        <v>1</v>
      </c>
      <c r="I11" s="39"/>
      <c r="J11" s="40" t="s">
        <v>236</v>
      </c>
    </row>
    <row r="12" ht="34" customHeight="1" spans="1:10" x14ac:dyDescent="0.25">
      <c r="A12" s="41" t="s">
        <v>237</v>
      </c>
      <c r="B12" s="20" t="s">
        <v>33</v>
      </c>
      <c r="C12" s="42" t="s">
        <v>238</v>
      </c>
      <c r="D12" s="24" t="s">
        <v>239</v>
      </c>
      <c r="E12" s="20" t="s">
        <v>234</v>
      </c>
      <c r="F12" s="43" t="s">
        <v>240</v>
      </c>
      <c r="G12" s="38" t="s">
        <v>26</v>
      </c>
      <c r="H12" s="38" t="s">
        <v>1</v>
      </c>
      <c r="I12" s="39"/>
      <c r="J12" s="40" t="s">
        <v>240</v>
      </c>
    </row>
    <row r="13" ht="34" customHeight="1" spans="1:10" x14ac:dyDescent="0.25">
      <c r="A13" s="41" t="s">
        <v>241</v>
      </c>
      <c r="B13" s="20" t="s">
        <v>33</v>
      </c>
      <c r="C13" s="42" t="s">
        <v>242</v>
      </c>
      <c r="D13" s="24" t="s">
        <v>243</v>
      </c>
      <c r="E13" s="20" t="s">
        <v>234</v>
      </c>
      <c r="F13" s="43" t="s">
        <v>244</v>
      </c>
      <c r="G13" s="38" t="s">
        <v>26</v>
      </c>
      <c r="H13" s="38" t="s">
        <v>1</v>
      </c>
      <c r="I13" s="39"/>
      <c r="J13" s="40" t="s">
        <v>245</v>
      </c>
    </row>
    <row r="14" ht="34" customHeight="1" spans="1:10" x14ac:dyDescent="0.25">
      <c r="A14" s="41" t="s">
        <v>246</v>
      </c>
      <c r="B14" s="20" t="s">
        <v>33</v>
      </c>
      <c r="C14" s="42" t="s">
        <v>247</v>
      </c>
      <c r="D14" s="24" t="s">
        <v>248</v>
      </c>
      <c r="E14" s="20" t="s">
        <v>234</v>
      </c>
      <c r="F14" s="43" t="s">
        <v>249</v>
      </c>
      <c r="G14" s="38" t="s">
        <v>26</v>
      </c>
      <c r="H14" s="38" t="s">
        <v>1</v>
      </c>
      <c r="I14" s="39"/>
      <c r="J14" s="40" t="s">
        <v>250</v>
      </c>
    </row>
    <row r="15" ht="48" customHeight="1" spans="1:10" x14ac:dyDescent="0.25">
      <c r="A15" s="41" t="s">
        <v>251</v>
      </c>
      <c r="B15" s="20" t="s">
        <v>33</v>
      </c>
      <c r="C15" s="42" t="s">
        <v>252</v>
      </c>
      <c r="D15" s="24" t="s">
        <v>253</v>
      </c>
      <c r="E15" s="20" t="s">
        <v>234</v>
      </c>
      <c r="F15" s="43" t="s">
        <v>254</v>
      </c>
      <c r="G15" s="38" t="s">
        <v>26</v>
      </c>
      <c r="H15" s="38" t="s">
        <v>1</v>
      </c>
      <c r="I15" s="39"/>
      <c r="J15" s="40" t="s">
        <v>255</v>
      </c>
    </row>
    <row r="16" ht="48" customHeight="1" spans="1:10" x14ac:dyDescent="0.25">
      <c r="A16" s="41" t="s">
        <v>256</v>
      </c>
      <c r="B16" s="20" t="s">
        <v>33</v>
      </c>
      <c r="C16" s="42" t="s">
        <v>257</v>
      </c>
      <c r="D16" s="24" t="s">
        <v>258</v>
      </c>
      <c r="E16" s="20" t="s">
        <v>259</v>
      </c>
      <c r="F16" s="43" t="s">
        <v>260</v>
      </c>
      <c r="G16" s="38" t="s">
        <v>20</v>
      </c>
      <c r="H16" s="38" t="s">
        <v>1</v>
      </c>
      <c r="I16" s="39"/>
      <c r="J16" s="40" t="s">
        <v>1</v>
      </c>
    </row>
    <row r="17" ht="34" customHeight="1" spans="1:10" x14ac:dyDescent="0.25">
      <c r="A17" s="41" t="s">
        <v>261</v>
      </c>
      <c r="B17" s="20" t="s">
        <v>41</v>
      </c>
      <c r="C17" s="42" t="s">
        <v>262</v>
      </c>
      <c r="D17" s="24" t="s">
        <v>263</v>
      </c>
      <c r="E17" s="20" t="s">
        <v>264</v>
      </c>
      <c r="F17" s="43" t="s">
        <v>265</v>
      </c>
      <c r="G17" s="38" t="s">
        <v>20</v>
      </c>
      <c r="H17" s="38" t="s">
        <v>1</v>
      </c>
      <c r="I17" s="39"/>
      <c r="J17" s="40" t="s">
        <v>266</v>
      </c>
    </row>
    <row r="18" ht="34" customHeight="1" spans="1:10" x14ac:dyDescent="0.25">
      <c r="A18" s="41" t="s">
        <v>267</v>
      </c>
      <c r="B18" s="20" t="s">
        <v>43</v>
      </c>
      <c r="C18" s="42" t="s">
        <v>268</v>
      </c>
      <c r="D18" s="24" t="s">
        <v>269</v>
      </c>
      <c r="E18" s="20" t="s">
        <v>234</v>
      </c>
      <c r="F18" s="43" t="s">
        <v>270</v>
      </c>
      <c r="G18" s="38" t="s">
        <v>26</v>
      </c>
      <c r="H18" s="38" t="s">
        <v>1</v>
      </c>
      <c r="I18" s="39"/>
      <c r="J18" s="40" t="s">
        <v>271</v>
      </c>
    </row>
    <row r="19" ht="34" customHeight="1" spans="1:10" x14ac:dyDescent="0.25">
      <c r="A19" s="41" t="s">
        <v>272</v>
      </c>
      <c r="B19" s="20" t="s">
        <v>43</v>
      </c>
      <c r="C19" s="42" t="s">
        <v>273</v>
      </c>
      <c r="D19" s="24" t="s">
        <v>274</v>
      </c>
      <c r="E19" s="20" t="s">
        <v>275</v>
      </c>
      <c r="F19" s="43" t="s">
        <v>276</v>
      </c>
      <c r="G19" s="38" t="s">
        <v>20</v>
      </c>
      <c r="H19" s="38" t="s">
        <v>1</v>
      </c>
      <c r="I19" s="39"/>
      <c r="J19" s="40" t="s">
        <v>1</v>
      </c>
    </row>
    <row r="20" ht="34" customHeight="1" spans="1:10" x14ac:dyDescent="0.25">
      <c r="A20" s="41" t="s">
        <v>277</v>
      </c>
      <c r="B20" s="20" t="s">
        <v>45</v>
      </c>
      <c r="C20" s="42" t="s">
        <v>278</v>
      </c>
      <c r="D20" s="24" t="s">
        <v>279</v>
      </c>
      <c r="E20" s="20" t="s">
        <v>234</v>
      </c>
      <c r="F20" s="43" t="s">
        <v>280</v>
      </c>
      <c r="G20" s="38" t="s">
        <v>26</v>
      </c>
      <c r="H20" s="38" t="s">
        <v>1</v>
      </c>
      <c r="I20" s="39"/>
      <c r="J20" s="40" t="s">
        <v>281</v>
      </c>
    </row>
    <row r="21" ht="34" customHeight="1" spans="1:10" x14ac:dyDescent="0.25">
      <c r="A21" s="41" t="s">
        <v>282</v>
      </c>
      <c r="B21" s="20" t="s">
        <v>45</v>
      </c>
      <c r="C21" s="42" t="s">
        <v>283</v>
      </c>
      <c r="D21" s="24" t="s">
        <v>284</v>
      </c>
      <c r="E21" s="20" t="s">
        <v>285</v>
      </c>
      <c r="F21" s="43" t="s">
        <v>286</v>
      </c>
      <c r="G21" s="38" t="s">
        <v>20</v>
      </c>
      <c r="H21" s="38" t="s">
        <v>1</v>
      </c>
      <c r="I21" s="39"/>
      <c r="J21" s="40" t="s">
        <v>287</v>
      </c>
    </row>
    <row r="22" ht="34" customHeight="1" spans="1:10" x14ac:dyDescent="0.25">
      <c r="A22" s="33" t="s">
        <v>288</v>
      </c>
      <c r="B22" s="34" t="s">
        <v>47</v>
      </c>
      <c r="C22" s="35" t="s">
        <v>289</v>
      </c>
      <c r="D22" s="36" t="s">
        <v>104</v>
      </c>
      <c r="E22" s="34" t="s">
        <v>290</v>
      </c>
      <c r="F22" s="37" t="s">
        <v>291</v>
      </c>
      <c r="G22" s="38" t="s">
        <v>20</v>
      </c>
      <c r="H22" s="38" t="s">
        <v>1</v>
      </c>
      <c r="I22" s="39"/>
      <c r="J22" s="40" t="s">
        <v>1</v>
      </c>
    </row>
    <row r="23" ht="34" customHeight="1" spans="1:10" x14ac:dyDescent="0.25">
      <c r="A23" s="33" t="s">
        <v>292</v>
      </c>
      <c r="B23" s="34" t="s">
        <v>47</v>
      </c>
      <c r="C23" s="35" t="s">
        <v>293</v>
      </c>
      <c r="D23" s="36" t="s">
        <v>294</v>
      </c>
      <c r="E23" s="34" t="s">
        <v>295</v>
      </c>
      <c r="F23" s="37" t="s">
        <v>296</v>
      </c>
      <c r="G23" s="38" t="s">
        <v>20</v>
      </c>
      <c r="H23" s="38" t="s">
        <v>1</v>
      </c>
      <c r="I23" s="39"/>
      <c r="J23" s="40" t="s">
        <v>1</v>
      </c>
    </row>
    <row r="24" spans="7:10" x14ac:dyDescent="0.25">
      <c r="G24" s="44"/>
      <c r="H24" s="44"/>
      <c r="I24" s="45"/>
      <c r="J24" s="44"/>
    </row>
    <row r="25" spans="7:10" x14ac:dyDescent="0.25">
      <c r="G25" s="44"/>
      <c r="H25" s="44"/>
      <c r="I25" s="45"/>
      <c r="J25" s="44"/>
    </row>
    <row r="26" spans="7:10" x14ac:dyDescent="0.25">
      <c r="G26" s="44"/>
      <c r="H26" s="44"/>
      <c r="I26" s="45"/>
      <c r="J26" s="44"/>
    </row>
    <row r="27" spans="7:10" x14ac:dyDescent="0.25">
      <c r="G27" s="44"/>
      <c r="H27" s="44"/>
      <c r="I27" s="45"/>
      <c r="J27" s="44"/>
    </row>
    <row r="28" spans="7:10" x14ac:dyDescent="0.25">
      <c r="G28" s="44"/>
      <c r="H28" s="44"/>
      <c r="I28" s="45"/>
      <c r="J28" s="44"/>
    </row>
    <row r="29" spans="7:10" x14ac:dyDescent="0.25">
      <c r="G29" s="44"/>
      <c r="H29" s="44"/>
      <c r="I29" s="45"/>
      <c r="J29" s="44"/>
    </row>
    <row r="30" spans="7:10" x14ac:dyDescent="0.25">
      <c r="G30" s="44"/>
      <c r="H30" s="44"/>
      <c r="I30" s="45"/>
      <c r="J30" s="44"/>
    </row>
    <row r="31" spans="7:10" x14ac:dyDescent="0.25">
      <c r="G31" s="44"/>
      <c r="H31" s="44"/>
      <c r="I31" s="45"/>
      <c r="J31" s="44"/>
    </row>
    <row r="32" spans="7:10" x14ac:dyDescent="0.25">
      <c r="G32" s="44"/>
      <c r="H32" s="44"/>
      <c r="I32" s="45"/>
      <c r="J32" s="44"/>
    </row>
    <row r="33" spans="7:10" x14ac:dyDescent="0.25">
      <c r="G33" s="44"/>
      <c r="H33" s="44"/>
      <c r="I33" s="45"/>
      <c r="J33" s="44"/>
    </row>
    <row r="34" spans="7:10" x14ac:dyDescent="0.25">
      <c r="G34" s="44"/>
      <c r="H34" s="44"/>
      <c r="I34" s="45"/>
      <c r="J34" s="44"/>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sheetData>
  <autoFilter ref="A8:J23"/>
  <mergeCells count="6">
    <mergeCell ref="A1:I1"/>
    <mergeCell ref="B2:J2"/>
    <mergeCell ref="B3:J3"/>
    <mergeCell ref="B4:J4"/>
    <mergeCell ref="B5:J5"/>
    <mergeCell ref="A7:J7"/>
  </mergeCells>
  <conditionalFormatting sqref="J6">
    <cfRule type="cellIs" dxfId="10" priority="1" operator="equal">
      <formula>"Done"</formula>
    </cfRule>
    <cfRule type="cellIs" dxfId="11" priority="2" operator="equal">
      <formula>"Complete"</formula>
    </cfRule>
    <cfRule type="cellIs" dxfId="12" priority="3" operator="equal">
      <formula>"In progress"</formula>
    </cfRule>
    <cfRule type="cellIs" dxfId="13" priority="4" operator="equal">
      <formula>"Blocked"</formula>
    </cfRule>
    <cfRule type="cellIs" dxfId="14" priority="5" operator="equal">
      <formula>"N/A"</formula>
    </cfRule>
    <cfRule type="cellIs" dxfId="15" priority="6" operator="equal">
      <formula>"Decided"</formula>
    </cfRule>
    <cfRule type="cellIs" dxfId="16" priority="7" operator="equal">
      <formula>"Open"</formula>
    </cfRule>
  </conditionalFormatting>
  <conditionalFormatting sqref="A7">
    <cfRule type="containsText" dxfId="17" priority="8">
      <formula>NOT(ISERROR(SEARCH("LOCKED",A7)))</formula>
    </cfRule>
    <cfRule type="containsText" dxfId="18" priority="9">
      <formula>NOT(ISERROR(SEARCH("READY",A7)))</formula>
    </cfRule>
  </conditionalFormatting>
  <conditionalFormatting sqref="G9:G400">
    <cfRule type="cellIs" dxfId="19" priority="10" operator="equal">
      <formula>"Done"</formula>
    </cfRule>
    <cfRule type="cellIs" dxfId="20" priority="11" operator="equal">
      <formula>"Complete"</formula>
    </cfRule>
    <cfRule type="cellIs" dxfId="21" priority="12" operator="equal">
      <formula>"In progress"</formula>
    </cfRule>
    <cfRule type="cellIs" dxfId="22" priority="13" operator="equal">
      <formula>"Blocked"</formula>
    </cfRule>
    <cfRule type="cellIs" dxfId="23" priority="14" operator="equal">
      <formula>"N/A"</formula>
    </cfRule>
    <cfRule type="cellIs" dxfId="24" priority="15" operator="equal">
      <formula>"Decided"</formula>
    </cfRule>
    <cfRule type="cellIs" dxfId="25" priority="16" operator="equal">
      <formula>"Open"</formula>
    </cfRule>
  </conditionalFormatting>
  <dataValidations count="4">
    <dataValidation type="list" allowBlank="1" showErrorMessage="1" errorTitle="Status" error="Choose a value from the list." sqref="G10:G38">
      <formula1>"Not started,In progress,Blocked,Done,N/A"</formula1>
    </dataValidation>
    <dataValidation type="list" allowBlank="1" showErrorMessage="1" errorTitle="Status" error="Choose a value from the list." sqref="G9:G38">
      <formula1>"Not started,In progress,Blocked,Done,N/A"</formula1>
    </dataValidation>
    <dataValidation type="date" operator="greaterThan" allowBlank="1" showErrorMessage="1" errorTitle="Date done" error="Enter a date (yyyy-mm-dd)." sqref="I10:I38">
      <formula1>46023</formula1>
    </dataValidation>
    <dataValidation type="date" operator="greaterThan" allowBlank="1" showErrorMessage="1" errorTitle="Date done" error="Enter a date (yyyy-mm-dd)." sqref="I9:I38">
      <formula1>46023</formula1>
    </dataValidation>
  </dataValidations>
  <hyperlinks>
    <hyperlink ref="J1" r:id="rId1" location="#'Dashboard'!A1"/>
  </hyperlink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6"/>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297</v>
      </c>
      <c r="B1" s="27"/>
      <c r="C1" s="27"/>
      <c r="D1" s="27"/>
      <c r="E1" s="27"/>
      <c r="F1" s="27"/>
      <c r="G1" s="27"/>
      <c r="H1" s="27"/>
      <c r="I1" s="27"/>
      <c r="J1" s="28" t="s">
        <v>202</v>
      </c>
    </row>
    <row r="2" ht="17" customHeight="1" spans="1:10" x14ac:dyDescent="0.25">
      <c r="A2" s="29" t="s">
        <v>203</v>
      </c>
      <c r="B2" s="6" t="s">
        <v>298</v>
      </c>
      <c r="C2" s="6"/>
      <c r="D2" s="6"/>
      <c r="E2" s="6"/>
      <c r="F2" s="6"/>
      <c r="G2" s="6"/>
      <c r="H2" s="6"/>
      <c r="I2" s="6"/>
      <c r="J2" s="6"/>
    </row>
    <row r="3" ht="17" customHeight="1" spans="1:10" x14ac:dyDescent="0.25">
      <c r="A3" s="29" t="s">
        <v>205</v>
      </c>
      <c r="B3" s="6" t="s">
        <v>299</v>
      </c>
      <c r="C3" s="6"/>
      <c r="D3" s="6"/>
      <c r="E3" s="6"/>
      <c r="F3" s="6"/>
      <c r="G3" s="6"/>
      <c r="H3" s="6"/>
      <c r="I3" s="6"/>
      <c r="J3" s="6"/>
    </row>
    <row r="4" ht="17" customHeight="1" spans="1:10" x14ac:dyDescent="0.25">
      <c r="A4" s="29" t="s">
        <v>207</v>
      </c>
      <c r="B4" s="6" t="s">
        <v>300</v>
      </c>
      <c r="C4" s="6"/>
      <c r="D4" s="6"/>
      <c r="E4" s="6"/>
      <c r="F4" s="6"/>
      <c r="G4" s="6"/>
      <c r="H4" s="6"/>
      <c r="I4" s="6"/>
      <c r="J4" s="6"/>
    </row>
    <row r="5" ht="17" customHeight="1" spans="1:10" x14ac:dyDescent="0.25">
      <c r="A5" s="29" t="s">
        <v>98</v>
      </c>
      <c r="B5" s="2" t="s">
        <v>109</v>
      </c>
      <c r="C5" s="2"/>
      <c r="D5" s="2"/>
      <c r="E5" s="2"/>
      <c r="F5" s="2"/>
      <c r="G5" s="2"/>
      <c r="H5" s="2"/>
      <c r="I5" s="2"/>
      <c r="J5" s="2"/>
    </row>
    <row r="6" spans="1:10" x14ac:dyDescent="0.25">
      <c r="A6" s="17" t="s">
        <v>92</v>
      </c>
      <c r="B6" s="30">
        <f>IF(D6=0,0,F6/D6)</f>
        <v>0</v>
      </c>
      <c r="C6" s="17" t="s">
        <v>91</v>
      </c>
      <c r="D6" s="31">
        <f>COUNTA(C9:C400)</f>
        <v>33</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IF('M01 Database'!$B$6=1,"READY: M01 is complete. Work the steps in order, 0 Gate in to 8 Gate out.","LOCKED: finish M01 Database first. Do not start work on this sheet.")</f>
        <v>LOCKED: finish M01 Database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20" customHeight="1" spans="1:10" x14ac:dyDescent="0.25">
      <c r="A9" s="33" t="s">
        <v>301</v>
      </c>
      <c r="B9" s="34" t="s">
        <v>31</v>
      </c>
      <c r="C9" s="35" t="s">
        <v>302</v>
      </c>
      <c r="D9" s="36" t="s">
        <v>303</v>
      </c>
      <c r="E9" s="34" t="s">
        <v>290</v>
      </c>
      <c r="F9" s="37" t="s">
        <v>304</v>
      </c>
      <c r="G9" s="38" t="s">
        <v>20</v>
      </c>
      <c r="H9" s="38" t="s">
        <v>1</v>
      </c>
      <c r="I9" s="39"/>
      <c r="J9" s="40" t="s">
        <v>1</v>
      </c>
    </row>
    <row r="10" ht="34" customHeight="1" spans="1:10" x14ac:dyDescent="0.25">
      <c r="A10" s="33" t="s">
        <v>305</v>
      </c>
      <c r="B10" s="34" t="s">
        <v>31</v>
      </c>
      <c r="C10" s="35" t="s">
        <v>306</v>
      </c>
      <c r="D10" s="36" t="s">
        <v>307</v>
      </c>
      <c r="E10" s="34" t="s">
        <v>308</v>
      </c>
      <c r="F10" s="37" t="s">
        <v>309</v>
      </c>
      <c r="G10" s="38" t="s">
        <v>20</v>
      </c>
      <c r="H10" s="38" t="s">
        <v>1</v>
      </c>
      <c r="I10" s="39"/>
      <c r="J10" s="40" t="s">
        <v>1</v>
      </c>
    </row>
    <row r="11" ht="48" customHeight="1" spans="1:10" x14ac:dyDescent="0.25">
      <c r="A11" s="41" t="s">
        <v>310</v>
      </c>
      <c r="B11" s="20" t="s">
        <v>33</v>
      </c>
      <c r="C11" s="42" t="s">
        <v>311</v>
      </c>
      <c r="D11" s="24" t="s">
        <v>312</v>
      </c>
      <c r="E11" s="20" t="s">
        <v>295</v>
      </c>
      <c r="F11" s="43" t="s">
        <v>313</v>
      </c>
      <c r="G11" s="38" t="s">
        <v>20</v>
      </c>
      <c r="H11" s="38" t="s">
        <v>1</v>
      </c>
      <c r="I11" s="39"/>
      <c r="J11" s="40" t="s">
        <v>1</v>
      </c>
    </row>
    <row r="12" ht="34" customHeight="1" spans="1:10" x14ac:dyDescent="0.25">
      <c r="A12" s="41" t="s">
        <v>314</v>
      </c>
      <c r="B12" s="20" t="s">
        <v>33</v>
      </c>
      <c r="C12" s="42" t="s">
        <v>315</v>
      </c>
      <c r="D12" s="24" t="s">
        <v>316</v>
      </c>
      <c r="E12" s="20" t="s">
        <v>295</v>
      </c>
      <c r="F12" s="43" t="s">
        <v>317</v>
      </c>
      <c r="G12" s="38" t="s">
        <v>20</v>
      </c>
      <c r="H12" s="38" t="s">
        <v>1</v>
      </c>
      <c r="I12" s="39"/>
      <c r="J12" s="40" t="s">
        <v>1</v>
      </c>
    </row>
    <row r="13" ht="34" customHeight="1" spans="1:10" x14ac:dyDescent="0.25">
      <c r="A13" s="41" t="s">
        <v>318</v>
      </c>
      <c r="B13" s="20" t="s">
        <v>33</v>
      </c>
      <c r="C13" s="42" t="s">
        <v>319</v>
      </c>
      <c r="D13" s="24" t="s">
        <v>320</v>
      </c>
      <c r="E13" s="20" t="s">
        <v>295</v>
      </c>
      <c r="F13" s="43" t="s">
        <v>321</v>
      </c>
      <c r="G13" s="38" t="s">
        <v>20</v>
      </c>
      <c r="H13" s="38" t="s">
        <v>1</v>
      </c>
      <c r="I13" s="39"/>
      <c r="J13" s="40" t="s">
        <v>1</v>
      </c>
    </row>
    <row r="14" ht="34" customHeight="1" spans="1:10" x14ac:dyDescent="0.25">
      <c r="A14" s="41" t="s">
        <v>322</v>
      </c>
      <c r="B14" s="20" t="s">
        <v>33</v>
      </c>
      <c r="C14" s="42" t="s">
        <v>323</v>
      </c>
      <c r="D14" s="24" t="s">
        <v>324</v>
      </c>
      <c r="E14" s="20" t="s">
        <v>295</v>
      </c>
      <c r="F14" s="43" t="s">
        <v>325</v>
      </c>
      <c r="G14" s="38" t="s">
        <v>20</v>
      </c>
      <c r="H14" s="38" t="s">
        <v>1</v>
      </c>
      <c r="I14" s="39"/>
      <c r="J14" s="40" t="s">
        <v>1</v>
      </c>
    </row>
    <row r="15" ht="34" customHeight="1" spans="1:10" x14ac:dyDescent="0.25">
      <c r="A15" s="41" t="s">
        <v>326</v>
      </c>
      <c r="B15" s="20" t="s">
        <v>35</v>
      </c>
      <c r="C15" s="42" t="s">
        <v>327</v>
      </c>
      <c r="D15" s="24" t="s">
        <v>328</v>
      </c>
      <c r="E15" s="20" t="s">
        <v>295</v>
      </c>
      <c r="F15" s="43" t="s">
        <v>329</v>
      </c>
      <c r="G15" s="38" t="s">
        <v>20</v>
      </c>
      <c r="H15" s="38" t="s">
        <v>1</v>
      </c>
      <c r="I15" s="39"/>
      <c r="J15" s="40" t="s">
        <v>1</v>
      </c>
    </row>
    <row r="16" ht="34" customHeight="1" spans="1:10" x14ac:dyDescent="0.25">
      <c r="A16" s="41" t="s">
        <v>330</v>
      </c>
      <c r="B16" s="20" t="s">
        <v>35</v>
      </c>
      <c r="C16" s="42" t="s">
        <v>331</v>
      </c>
      <c r="D16" s="24" t="s">
        <v>332</v>
      </c>
      <c r="E16" s="20" t="s">
        <v>295</v>
      </c>
      <c r="F16" s="43" t="s">
        <v>254</v>
      </c>
      <c r="G16" s="38" t="s">
        <v>20</v>
      </c>
      <c r="H16" s="38" t="s">
        <v>1</v>
      </c>
      <c r="I16" s="39"/>
      <c r="J16" s="40" t="s">
        <v>1</v>
      </c>
    </row>
    <row r="17" ht="48" customHeight="1" spans="1:10" x14ac:dyDescent="0.25">
      <c r="A17" s="41" t="s">
        <v>333</v>
      </c>
      <c r="B17" s="20" t="s">
        <v>35</v>
      </c>
      <c r="C17" s="42" t="s">
        <v>334</v>
      </c>
      <c r="D17" s="24" t="s">
        <v>335</v>
      </c>
      <c r="E17" s="20" t="s">
        <v>295</v>
      </c>
      <c r="F17" s="43" t="s">
        <v>336</v>
      </c>
      <c r="G17" s="38" t="s">
        <v>20</v>
      </c>
      <c r="H17" s="38" t="s">
        <v>1</v>
      </c>
      <c r="I17" s="39"/>
      <c r="J17" s="40" t="s">
        <v>1</v>
      </c>
    </row>
    <row r="18" ht="34" customHeight="1" spans="1:10" x14ac:dyDescent="0.25">
      <c r="A18" s="41" t="s">
        <v>337</v>
      </c>
      <c r="B18" s="20" t="s">
        <v>35</v>
      </c>
      <c r="C18" s="42" t="s">
        <v>338</v>
      </c>
      <c r="D18" s="24" t="s">
        <v>339</v>
      </c>
      <c r="E18" s="20" t="s">
        <v>295</v>
      </c>
      <c r="F18" s="43" t="s">
        <v>340</v>
      </c>
      <c r="G18" s="38" t="s">
        <v>20</v>
      </c>
      <c r="H18" s="38" t="s">
        <v>1</v>
      </c>
      <c r="I18" s="39"/>
      <c r="J18" s="40" t="s">
        <v>1</v>
      </c>
    </row>
    <row r="19" ht="34" customHeight="1" spans="1:10" x14ac:dyDescent="0.25">
      <c r="A19" s="41" t="s">
        <v>341</v>
      </c>
      <c r="B19" s="20" t="s">
        <v>35</v>
      </c>
      <c r="C19" s="42" t="s">
        <v>342</v>
      </c>
      <c r="D19" s="24" t="s">
        <v>343</v>
      </c>
      <c r="E19" s="20" t="s">
        <v>295</v>
      </c>
      <c r="F19" s="43" t="s">
        <v>344</v>
      </c>
      <c r="G19" s="38" t="s">
        <v>20</v>
      </c>
      <c r="H19" s="38" t="s">
        <v>1</v>
      </c>
      <c r="I19" s="39"/>
      <c r="J19" s="40" t="s">
        <v>1</v>
      </c>
    </row>
    <row r="20" ht="34" customHeight="1" spans="1:10" x14ac:dyDescent="0.25">
      <c r="A20" s="41" t="s">
        <v>345</v>
      </c>
      <c r="B20" s="20" t="s">
        <v>37</v>
      </c>
      <c r="C20" s="42" t="s">
        <v>346</v>
      </c>
      <c r="D20" s="24" t="s">
        <v>347</v>
      </c>
      <c r="E20" s="20" t="s">
        <v>295</v>
      </c>
      <c r="F20" s="43" t="s">
        <v>348</v>
      </c>
      <c r="G20" s="38" t="s">
        <v>20</v>
      </c>
      <c r="H20" s="38" t="s">
        <v>1</v>
      </c>
      <c r="I20" s="39"/>
      <c r="J20" s="40" t="s">
        <v>1</v>
      </c>
    </row>
    <row r="21" ht="48" customHeight="1" spans="1:10" x14ac:dyDescent="0.25">
      <c r="A21" s="41" t="s">
        <v>349</v>
      </c>
      <c r="B21" s="20" t="s">
        <v>37</v>
      </c>
      <c r="C21" s="42" t="s">
        <v>350</v>
      </c>
      <c r="D21" s="24" t="s">
        <v>351</v>
      </c>
      <c r="E21" s="20" t="s">
        <v>295</v>
      </c>
      <c r="F21" s="43" t="s">
        <v>352</v>
      </c>
      <c r="G21" s="38" t="s">
        <v>20</v>
      </c>
      <c r="H21" s="38" t="s">
        <v>1</v>
      </c>
      <c r="I21" s="39"/>
      <c r="J21" s="40" t="s">
        <v>1</v>
      </c>
    </row>
    <row r="22" ht="34" customHeight="1" spans="1:10" x14ac:dyDescent="0.25">
      <c r="A22" s="41" t="s">
        <v>353</v>
      </c>
      <c r="B22" s="20" t="s">
        <v>37</v>
      </c>
      <c r="C22" s="42" t="s">
        <v>354</v>
      </c>
      <c r="D22" s="24" t="s">
        <v>355</v>
      </c>
      <c r="E22" s="20" t="s">
        <v>295</v>
      </c>
      <c r="F22" s="43" t="s">
        <v>352</v>
      </c>
      <c r="G22" s="38" t="s">
        <v>20</v>
      </c>
      <c r="H22" s="38" t="s">
        <v>1</v>
      </c>
      <c r="I22" s="39"/>
      <c r="J22" s="40" t="s">
        <v>1</v>
      </c>
    </row>
    <row r="23" ht="34" customHeight="1" spans="1:10" x14ac:dyDescent="0.25">
      <c r="A23" s="41" t="s">
        <v>356</v>
      </c>
      <c r="B23" s="20" t="s">
        <v>37</v>
      </c>
      <c r="C23" s="42" t="s">
        <v>357</v>
      </c>
      <c r="D23" s="24" t="s">
        <v>358</v>
      </c>
      <c r="E23" s="20" t="s">
        <v>359</v>
      </c>
      <c r="F23" s="43" t="s">
        <v>360</v>
      </c>
      <c r="G23" s="38" t="s">
        <v>20</v>
      </c>
      <c r="H23" s="38" t="s">
        <v>1</v>
      </c>
      <c r="I23" s="39"/>
      <c r="J23" s="40" t="s">
        <v>1</v>
      </c>
    </row>
    <row r="24" ht="34" customHeight="1" spans="1:10" x14ac:dyDescent="0.25">
      <c r="A24" s="41" t="s">
        <v>361</v>
      </c>
      <c r="B24" s="20" t="s">
        <v>37</v>
      </c>
      <c r="C24" s="42" t="s">
        <v>362</v>
      </c>
      <c r="D24" s="24" t="s">
        <v>363</v>
      </c>
      <c r="E24" s="20" t="s">
        <v>295</v>
      </c>
      <c r="F24" s="43" t="s">
        <v>364</v>
      </c>
      <c r="G24" s="38" t="s">
        <v>20</v>
      </c>
      <c r="H24" s="38" t="s">
        <v>1</v>
      </c>
      <c r="I24" s="39"/>
      <c r="J24" s="40" t="s">
        <v>1</v>
      </c>
    </row>
    <row r="25" ht="34" customHeight="1" spans="1:10" x14ac:dyDescent="0.25">
      <c r="A25" s="41" t="s">
        <v>365</v>
      </c>
      <c r="B25" s="20" t="s">
        <v>37</v>
      </c>
      <c r="C25" s="42" t="s">
        <v>366</v>
      </c>
      <c r="D25" s="24" t="s">
        <v>367</v>
      </c>
      <c r="E25" s="20" t="s">
        <v>295</v>
      </c>
      <c r="F25" s="43" t="s">
        <v>368</v>
      </c>
      <c r="G25" s="38" t="s">
        <v>20</v>
      </c>
      <c r="H25" s="38" t="s">
        <v>1</v>
      </c>
      <c r="I25" s="39"/>
      <c r="J25" s="40" t="s">
        <v>1</v>
      </c>
    </row>
    <row r="26" ht="34" customHeight="1" spans="1:10" x14ac:dyDescent="0.25">
      <c r="A26" s="41" t="s">
        <v>369</v>
      </c>
      <c r="B26" s="20" t="s">
        <v>37</v>
      </c>
      <c r="C26" s="42" t="s">
        <v>370</v>
      </c>
      <c r="D26" s="24" t="s">
        <v>371</v>
      </c>
      <c r="E26" s="20" t="s">
        <v>285</v>
      </c>
      <c r="F26" s="43" t="s">
        <v>372</v>
      </c>
      <c r="G26" s="38" t="s">
        <v>20</v>
      </c>
      <c r="H26" s="38" t="s">
        <v>1</v>
      </c>
      <c r="I26" s="39"/>
      <c r="J26" s="40" t="s">
        <v>1</v>
      </c>
    </row>
    <row r="27" ht="34" customHeight="1" spans="1:10" x14ac:dyDescent="0.25">
      <c r="A27" s="41" t="s">
        <v>373</v>
      </c>
      <c r="B27" s="20" t="s">
        <v>39</v>
      </c>
      <c r="C27" s="42" t="s">
        <v>374</v>
      </c>
      <c r="D27" s="24" t="s">
        <v>375</v>
      </c>
      <c r="E27" s="20" t="s">
        <v>295</v>
      </c>
      <c r="F27" s="43" t="s">
        <v>376</v>
      </c>
      <c r="G27" s="38" t="s">
        <v>20</v>
      </c>
      <c r="H27" s="38" t="s">
        <v>1</v>
      </c>
      <c r="I27" s="39"/>
      <c r="J27" s="40" t="s">
        <v>1</v>
      </c>
    </row>
    <row r="28" ht="34" customHeight="1" spans="1:10" x14ac:dyDescent="0.25">
      <c r="A28" s="41" t="s">
        <v>377</v>
      </c>
      <c r="B28" s="20" t="s">
        <v>41</v>
      </c>
      <c r="C28" s="42" t="s">
        <v>378</v>
      </c>
      <c r="D28" s="24" t="s">
        <v>379</v>
      </c>
      <c r="E28" s="20" t="s">
        <v>264</v>
      </c>
      <c r="F28" s="43" t="s">
        <v>380</v>
      </c>
      <c r="G28" s="38" t="s">
        <v>20</v>
      </c>
      <c r="H28" s="38" t="s">
        <v>1</v>
      </c>
      <c r="I28" s="39"/>
      <c r="J28" s="40" t="s">
        <v>1</v>
      </c>
    </row>
    <row r="29" ht="48" customHeight="1" spans="1:10" x14ac:dyDescent="0.25">
      <c r="A29" s="41" t="s">
        <v>381</v>
      </c>
      <c r="B29" s="20" t="s">
        <v>41</v>
      </c>
      <c r="C29" s="42" t="s">
        <v>382</v>
      </c>
      <c r="D29" s="24" t="s">
        <v>383</v>
      </c>
      <c r="E29" s="20" t="s">
        <v>264</v>
      </c>
      <c r="F29" s="43" t="s">
        <v>384</v>
      </c>
      <c r="G29" s="38" t="s">
        <v>20</v>
      </c>
      <c r="H29" s="38" t="s">
        <v>1</v>
      </c>
      <c r="I29" s="39"/>
      <c r="J29" s="40" t="s">
        <v>1</v>
      </c>
    </row>
    <row r="30" ht="48" customHeight="1" spans="1:10" x14ac:dyDescent="0.25">
      <c r="A30" s="41" t="s">
        <v>385</v>
      </c>
      <c r="B30" s="20" t="s">
        <v>43</v>
      </c>
      <c r="C30" s="42" t="s">
        <v>386</v>
      </c>
      <c r="D30" s="24" t="s">
        <v>387</v>
      </c>
      <c r="E30" s="20" t="s">
        <v>295</v>
      </c>
      <c r="F30" s="43" t="s">
        <v>388</v>
      </c>
      <c r="G30" s="38" t="s">
        <v>20</v>
      </c>
      <c r="H30" s="38" t="s">
        <v>1</v>
      </c>
      <c r="I30" s="39"/>
      <c r="J30" s="40" t="s">
        <v>1</v>
      </c>
    </row>
    <row r="31" ht="34" customHeight="1" spans="1:10" x14ac:dyDescent="0.25">
      <c r="A31" s="41" t="s">
        <v>389</v>
      </c>
      <c r="B31" s="20" t="s">
        <v>43</v>
      </c>
      <c r="C31" s="42" t="s">
        <v>390</v>
      </c>
      <c r="D31" s="24" t="s">
        <v>391</v>
      </c>
      <c r="E31" s="20" t="s">
        <v>392</v>
      </c>
      <c r="F31" s="43" t="s">
        <v>393</v>
      </c>
      <c r="G31" s="38" t="s">
        <v>20</v>
      </c>
      <c r="H31" s="38" t="s">
        <v>1</v>
      </c>
      <c r="I31" s="39"/>
      <c r="J31" s="40" t="s">
        <v>1</v>
      </c>
    </row>
    <row r="32" ht="34" customHeight="1" spans="1:10" x14ac:dyDescent="0.25">
      <c r="A32" s="41" t="s">
        <v>394</v>
      </c>
      <c r="B32" s="20" t="s">
        <v>43</v>
      </c>
      <c r="C32" s="42" t="s">
        <v>395</v>
      </c>
      <c r="D32" s="24" t="s">
        <v>396</v>
      </c>
      <c r="E32" s="20" t="s">
        <v>392</v>
      </c>
      <c r="F32" s="43" t="s">
        <v>397</v>
      </c>
      <c r="G32" s="38" t="s">
        <v>20</v>
      </c>
      <c r="H32" s="38" t="s">
        <v>1</v>
      </c>
      <c r="I32" s="39"/>
      <c r="J32" s="40" t="s">
        <v>1</v>
      </c>
    </row>
    <row r="33" ht="34" customHeight="1" spans="1:10" x14ac:dyDescent="0.25">
      <c r="A33" s="41" t="s">
        <v>398</v>
      </c>
      <c r="B33" s="20" t="s">
        <v>43</v>
      </c>
      <c r="C33" s="42" t="s">
        <v>399</v>
      </c>
      <c r="D33" s="24" t="s">
        <v>400</v>
      </c>
      <c r="E33" s="20" t="s">
        <v>392</v>
      </c>
      <c r="F33" s="43" t="s">
        <v>401</v>
      </c>
      <c r="G33" s="38" t="s">
        <v>20</v>
      </c>
      <c r="H33" s="38" t="s">
        <v>1</v>
      </c>
      <c r="I33" s="39"/>
      <c r="J33" s="40" t="s">
        <v>1</v>
      </c>
    </row>
    <row r="34" ht="20" customHeight="1" spans="1:10" x14ac:dyDescent="0.25">
      <c r="A34" s="41" t="s">
        <v>402</v>
      </c>
      <c r="B34" s="20" t="s">
        <v>43</v>
      </c>
      <c r="C34" s="42" t="s">
        <v>403</v>
      </c>
      <c r="D34" s="24" t="s">
        <v>404</v>
      </c>
      <c r="E34" s="20" t="s">
        <v>264</v>
      </c>
      <c r="F34" s="43" t="s">
        <v>405</v>
      </c>
      <c r="G34" s="38" t="s">
        <v>20</v>
      </c>
      <c r="H34" s="38" t="s">
        <v>1</v>
      </c>
      <c r="I34" s="39"/>
      <c r="J34" s="40" t="s">
        <v>1</v>
      </c>
    </row>
    <row r="35" ht="34" customHeight="1" spans="1:10" x14ac:dyDescent="0.25">
      <c r="A35" s="41" t="s">
        <v>406</v>
      </c>
      <c r="B35" s="20" t="s">
        <v>45</v>
      </c>
      <c r="C35" s="42" t="s">
        <v>407</v>
      </c>
      <c r="D35" s="24" t="s">
        <v>408</v>
      </c>
      <c r="E35" s="20" t="s">
        <v>295</v>
      </c>
      <c r="F35" s="43" t="s">
        <v>409</v>
      </c>
      <c r="G35" s="38" t="s">
        <v>20</v>
      </c>
      <c r="H35" s="38" t="s">
        <v>1</v>
      </c>
      <c r="I35" s="39"/>
      <c r="J35" s="40" t="s">
        <v>1</v>
      </c>
    </row>
    <row r="36" ht="20" customHeight="1" spans="1:10" x14ac:dyDescent="0.25">
      <c r="A36" s="41" t="s">
        <v>410</v>
      </c>
      <c r="B36" s="20" t="s">
        <v>45</v>
      </c>
      <c r="C36" s="42" t="s">
        <v>411</v>
      </c>
      <c r="D36" s="24" t="s">
        <v>412</v>
      </c>
      <c r="E36" s="20" t="s">
        <v>359</v>
      </c>
      <c r="F36" s="43" t="s">
        <v>413</v>
      </c>
      <c r="G36" s="38" t="s">
        <v>20</v>
      </c>
      <c r="H36" s="38" t="s">
        <v>1</v>
      </c>
      <c r="I36" s="39"/>
      <c r="J36" s="40" t="s">
        <v>1</v>
      </c>
    </row>
    <row r="37" ht="34" customHeight="1" spans="1:10" x14ac:dyDescent="0.25">
      <c r="A37" s="41" t="s">
        <v>414</v>
      </c>
      <c r="B37" s="20" t="s">
        <v>45</v>
      </c>
      <c r="C37" s="42" t="s">
        <v>415</v>
      </c>
      <c r="D37" s="24" t="s">
        <v>416</v>
      </c>
      <c r="E37" s="20" t="s">
        <v>285</v>
      </c>
      <c r="F37" s="43" t="s">
        <v>417</v>
      </c>
      <c r="G37" s="38" t="s">
        <v>20</v>
      </c>
      <c r="H37" s="38" t="s">
        <v>1</v>
      </c>
      <c r="I37" s="39"/>
      <c r="J37" s="40" t="s">
        <v>1</v>
      </c>
    </row>
    <row r="38" ht="34" customHeight="1" spans="1:10" x14ac:dyDescent="0.25">
      <c r="A38" s="41" t="s">
        <v>418</v>
      </c>
      <c r="B38" s="20" t="s">
        <v>45</v>
      </c>
      <c r="C38" s="42" t="s">
        <v>419</v>
      </c>
      <c r="D38" s="24" t="s">
        <v>420</v>
      </c>
      <c r="E38" s="20" t="s">
        <v>295</v>
      </c>
      <c r="F38" s="43" t="s">
        <v>421</v>
      </c>
      <c r="G38" s="38" t="s">
        <v>20</v>
      </c>
      <c r="H38" s="38" t="s">
        <v>1</v>
      </c>
      <c r="I38" s="39"/>
      <c r="J38" s="40" t="s">
        <v>1</v>
      </c>
    </row>
    <row r="39" ht="34" customHeight="1" spans="1:10" x14ac:dyDescent="0.25">
      <c r="A39" s="33" t="s">
        <v>422</v>
      </c>
      <c r="B39" s="34" t="s">
        <v>47</v>
      </c>
      <c r="C39" s="35" t="s">
        <v>289</v>
      </c>
      <c r="D39" s="36" t="s">
        <v>423</v>
      </c>
      <c r="E39" s="34" t="s">
        <v>290</v>
      </c>
      <c r="F39" s="37" t="s">
        <v>291</v>
      </c>
      <c r="G39" s="38" t="s">
        <v>20</v>
      </c>
      <c r="H39" s="38" t="s">
        <v>1</v>
      </c>
      <c r="I39" s="39"/>
      <c r="J39" s="40" t="s">
        <v>1</v>
      </c>
    </row>
    <row r="40" ht="20" customHeight="1" spans="1:10" x14ac:dyDescent="0.25">
      <c r="A40" s="33" t="s">
        <v>424</v>
      </c>
      <c r="B40" s="34" t="s">
        <v>47</v>
      </c>
      <c r="C40" s="35" t="s">
        <v>425</v>
      </c>
      <c r="D40" s="36" t="s">
        <v>426</v>
      </c>
      <c r="E40" s="34" t="s">
        <v>427</v>
      </c>
      <c r="F40" s="37" t="s">
        <v>428</v>
      </c>
      <c r="G40" s="38" t="s">
        <v>20</v>
      </c>
      <c r="H40" s="38" t="s">
        <v>1</v>
      </c>
      <c r="I40" s="39"/>
      <c r="J40" s="40" t="s">
        <v>1</v>
      </c>
    </row>
    <row r="41" ht="20" customHeight="1" spans="1:10" x14ac:dyDescent="0.25">
      <c r="A41" s="33" t="s">
        <v>429</v>
      </c>
      <c r="B41" s="34" t="s">
        <v>47</v>
      </c>
      <c r="C41" s="35" t="s">
        <v>430</v>
      </c>
      <c r="D41" s="36" t="s">
        <v>431</v>
      </c>
      <c r="E41" s="34" t="s">
        <v>295</v>
      </c>
      <c r="F41" s="37" t="s">
        <v>432</v>
      </c>
      <c r="G41" s="38" t="s">
        <v>20</v>
      </c>
      <c r="H41" s="38" t="s">
        <v>1</v>
      </c>
      <c r="I41" s="39"/>
      <c r="J41" s="40" t="s">
        <v>1</v>
      </c>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row r="56" spans="7:10" x14ac:dyDescent="0.25">
      <c r="G56" s="44"/>
      <c r="H56" s="44"/>
      <c r="I56" s="45"/>
      <c r="J56" s="44"/>
    </row>
  </sheetData>
  <autoFilter ref="A8:J41"/>
  <mergeCells count="6">
    <mergeCell ref="A1:I1"/>
    <mergeCell ref="B2:J2"/>
    <mergeCell ref="B3:J3"/>
    <mergeCell ref="B4:J4"/>
    <mergeCell ref="B5:J5"/>
    <mergeCell ref="A7:J7"/>
  </mergeCells>
  <conditionalFormatting sqref="J6">
    <cfRule type="cellIs" dxfId="26" priority="1" operator="equal">
      <formula>"Done"</formula>
    </cfRule>
    <cfRule type="cellIs" dxfId="27" priority="2" operator="equal">
      <formula>"Complete"</formula>
    </cfRule>
    <cfRule type="cellIs" dxfId="28" priority="3" operator="equal">
      <formula>"In progress"</formula>
    </cfRule>
    <cfRule type="cellIs" dxfId="29" priority="4" operator="equal">
      <formula>"Blocked"</formula>
    </cfRule>
    <cfRule type="cellIs" dxfId="30" priority="5" operator="equal">
      <formula>"N/A"</formula>
    </cfRule>
    <cfRule type="cellIs" dxfId="31" priority="6" operator="equal">
      <formula>"Decided"</formula>
    </cfRule>
    <cfRule type="cellIs" dxfId="32" priority="7" operator="equal">
      <formula>"Open"</formula>
    </cfRule>
  </conditionalFormatting>
  <conditionalFormatting sqref="A7">
    <cfRule type="containsText" dxfId="33" priority="8">
      <formula>NOT(ISERROR(SEARCH("LOCKED",A7)))</formula>
    </cfRule>
    <cfRule type="containsText" dxfId="34" priority="9">
      <formula>NOT(ISERROR(SEARCH("READY",A7)))</formula>
    </cfRule>
  </conditionalFormatting>
  <conditionalFormatting sqref="G9:G400">
    <cfRule type="cellIs" dxfId="35" priority="10" operator="equal">
      <formula>"Done"</formula>
    </cfRule>
    <cfRule type="cellIs" dxfId="36" priority="11" operator="equal">
      <formula>"Complete"</formula>
    </cfRule>
    <cfRule type="cellIs" dxfId="37" priority="12" operator="equal">
      <formula>"In progress"</formula>
    </cfRule>
    <cfRule type="cellIs" dxfId="38" priority="13" operator="equal">
      <formula>"Blocked"</formula>
    </cfRule>
    <cfRule type="cellIs" dxfId="39" priority="14" operator="equal">
      <formula>"N/A"</formula>
    </cfRule>
    <cfRule type="cellIs" dxfId="40" priority="15" operator="equal">
      <formula>"Decided"</formula>
    </cfRule>
    <cfRule type="cellIs" dxfId="41" priority="16" operator="equal">
      <formula>"Open"</formula>
    </cfRule>
  </conditionalFormatting>
  <dataValidations count="4">
    <dataValidation type="list" allowBlank="1" showErrorMessage="1" errorTitle="Status" error="Choose a value from the list." sqref="G10:G56">
      <formula1>"Not started,In progress,Blocked,Done,N/A"</formula1>
    </dataValidation>
    <dataValidation type="list" allowBlank="1" showErrorMessage="1" errorTitle="Status" error="Choose a value from the list." sqref="G9:G56">
      <formula1>"Not started,In progress,Blocked,Done,N/A"</formula1>
    </dataValidation>
    <dataValidation type="date" operator="greaterThan" allowBlank="1" showErrorMessage="1" errorTitle="Date done" error="Enter a date (yyyy-mm-dd)." sqref="I10:I56">
      <formula1>46023</formula1>
    </dataValidation>
    <dataValidation type="date" operator="greaterThan" allowBlank="1" showErrorMessage="1" errorTitle="Date done" error="Enter a date (yyyy-mm-dd)." sqref="I9:I56">
      <formula1>46023</formula1>
    </dataValidation>
  </dataValidations>
  <hyperlinks>
    <hyperlink ref="J1" r:id="rId1" location="#'Dashboard'!A1"/>
  </hyperlinks>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5"/>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433</v>
      </c>
      <c r="B1" s="27"/>
      <c r="C1" s="27"/>
      <c r="D1" s="27"/>
      <c r="E1" s="27"/>
      <c r="F1" s="27"/>
      <c r="G1" s="27"/>
      <c r="H1" s="27"/>
      <c r="I1" s="27"/>
      <c r="J1" s="28" t="s">
        <v>202</v>
      </c>
    </row>
    <row r="2" ht="17" customHeight="1" spans="1:10" x14ac:dyDescent="0.25">
      <c r="A2" s="29" t="s">
        <v>203</v>
      </c>
      <c r="B2" s="6" t="s">
        <v>434</v>
      </c>
      <c r="C2" s="6"/>
      <c r="D2" s="6"/>
      <c r="E2" s="6"/>
      <c r="F2" s="6"/>
      <c r="G2" s="6"/>
      <c r="H2" s="6"/>
      <c r="I2" s="6"/>
      <c r="J2" s="6"/>
    </row>
    <row r="3" ht="17" customHeight="1" spans="1:10" x14ac:dyDescent="0.25">
      <c r="A3" s="29" t="s">
        <v>205</v>
      </c>
      <c r="B3" s="6" t="s">
        <v>435</v>
      </c>
      <c r="C3" s="6"/>
      <c r="D3" s="6"/>
      <c r="E3" s="6"/>
      <c r="F3" s="6"/>
      <c r="G3" s="6"/>
      <c r="H3" s="6"/>
      <c r="I3" s="6"/>
      <c r="J3" s="6"/>
    </row>
    <row r="4" ht="17" customHeight="1" spans="1:10" x14ac:dyDescent="0.25">
      <c r="A4" s="29" t="s">
        <v>207</v>
      </c>
      <c r="B4" s="6" t="s">
        <v>436</v>
      </c>
      <c r="C4" s="6"/>
      <c r="D4" s="6"/>
      <c r="E4" s="6"/>
      <c r="F4" s="6"/>
      <c r="G4" s="6"/>
      <c r="H4" s="6"/>
      <c r="I4" s="6"/>
      <c r="J4" s="6"/>
    </row>
    <row r="5" ht="17" customHeight="1" spans="1:10" x14ac:dyDescent="0.25">
      <c r="A5" s="29" t="s">
        <v>98</v>
      </c>
      <c r="B5" s="2" t="s">
        <v>114</v>
      </c>
      <c r="C5" s="2"/>
      <c r="D5" s="2"/>
      <c r="E5" s="2"/>
      <c r="F5" s="2"/>
      <c r="G5" s="2"/>
      <c r="H5" s="2"/>
      <c r="I5" s="2"/>
      <c r="J5" s="2"/>
    </row>
    <row r="6" spans="1:10" x14ac:dyDescent="0.25">
      <c r="A6" s="17" t="s">
        <v>92</v>
      </c>
      <c r="B6" s="30">
        <f>IF(D6=0,0,F6/D6)</f>
        <v>0</v>
      </c>
      <c r="C6" s="17" t="s">
        <v>91</v>
      </c>
      <c r="D6" s="31">
        <f>COUNTA(C9:C400)</f>
        <v>32</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IF('M02 Platform'!$B$6=1,"READY: M02 is complete. Work the steps in order, 0 Gate in to 8 Gate out.","LOCKED: finish M02 Platform first. Do not start work on this sheet.")</f>
        <v>LOCKED: finish M02 Platform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437</v>
      </c>
      <c r="B9" s="34" t="s">
        <v>31</v>
      </c>
      <c r="C9" s="35" t="s">
        <v>438</v>
      </c>
      <c r="D9" s="36" t="s">
        <v>439</v>
      </c>
      <c r="E9" s="34" t="s">
        <v>290</v>
      </c>
      <c r="F9" s="37" t="s">
        <v>304</v>
      </c>
      <c r="G9" s="38" t="s">
        <v>20</v>
      </c>
      <c r="H9" s="38" t="s">
        <v>1</v>
      </c>
      <c r="I9" s="39"/>
      <c r="J9" s="40" t="s">
        <v>1</v>
      </c>
    </row>
    <row r="10" ht="34" customHeight="1" spans="1:10" x14ac:dyDescent="0.25">
      <c r="A10" s="33" t="s">
        <v>440</v>
      </c>
      <c r="B10" s="34" t="s">
        <v>31</v>
      </c>
      <c r="C10" s="35" t="s">
        <v>441</v>
      </c>
      <c r="D10" s="36" t="s">
        <v>442</v>
      </c>
      <c r="E10" s="34" t="s">
        <v>443</v>
      </c>
      <c r="F10" s="37" t="s">
        <v>444</v>
      </c>
      <c r="G10" s="38" t="s">
        <v>20</v>
      </c>
      <c r="H10" s="38" t="s">
        <v>1</v>
      </c>
      <c r="I10" s="39"/>
      <c r="J10" s="40" t="s">
        <v>1</v>
      </c>
    </row>
    <row r="11" ht="34" customHeight="1" spans="1:10" x14ac:dyDescent="0.25">
      <c r="A11" s="33" t="s">
        <v>445</v>
      </c>
      <c r="B11" s="34" t="s">
        <v>31</v>
      </c>
      <c r="C11" s="35" t="s">
        <v>306</v>
      </c>
      <c r="D11" s="36" t="s">
        <v>446</v>
      </c>
      <c r="E11" s="34" t="s">
        <v>308</v>
      </c>
      <c r="F11" s="37" t="s">
        <v>309</v>
      </c>
      <c r="G11" s="38" t="s">
        <v>20</v>
      </c>
      <c r="H11" s="38" t="s">
        <v>1</v>
      </c>
      <c r="I11" s="39"/>
      <c r="J11" s="40" t="s">
        <v>1</v>
      </c>
    </row>
    <row r="12" ht="62" customHeight="1" spans="1:10" x14ac:dyDescent="0.25">
      <c r="A12" s="41" t="s">
        <v>447</v>
      </c>
      <c r="B12" s="20" t="s">
        <v>33</v>
      </c>
      <c r="C12" s="42" t="s">
        <v>448</v>
      </c>
      <c r="D12" s="24" t="s">
        <v>449</v>
      </c>
      <c r="E12" s="20" t="s">
        <v>295</v>
      </c>
      <c r="F12" s="43" t="s">
        <v>450</v>
      </c>
      <c r="G12" s="38" t="s">
        <v>20</v>
      </c>
      <c r="H12" s="38" t="s">
        <v>1</v>
      </c>
      <c r="I12" s="39"/>
      <c r="J12" s="40" t="s">
        <v>1</v>
      </c>
    </row>
    <row r="13" ht="34" customHeight="1" spans="1:10" x14ac:dyDescent="0.25">
      <c r="A13" s="41" t="s">
        <v>451</v>
      </c>
      <c r="B13" s="20" t="s">
        <v>33</v>
      </c>
      <c r="C13" s="42" t="s">
        <v>452</v>
      </c>
      <c r="D13" s="24" t="s">
        <v>453</v>
      </c>
      <c r="E13" s="20" t="s">
        <v>295</v>
      </c>
      <c r="F13" s="43" t="s">
        <v>454</v>
      </c>
      <c r="G13" s="38" t="s">
        <v>20</v>
      </c>
      <c r="H13" s="38" t="s">
        <v>1</v>
      </c>
      <c r="I13" s="39"/>
      <c r="J13" s="40" t="s">
        <v>1</v>
      </c>
    </row>
    <row r="14" ht="48" customHeight="1" spans="1:10" x14ac:dyDescent="0.25">
      <c r="A14" s="41" t="s">
        <v>455</v>
      </c>
      <c r="B14" s="20" t="s">
        <v>33</v>
      </c>
      <c r="C14" s="42" t="s">
        <v>456</v>
      </c>
      <c r="D14" s="24" t="s">
        <v>457</v>
      </c>
      <c r="E14" s="20" t="s">
        <v>295</v>
      </c>
      <c r="F14" s="43" t="s">
        <v>458</v>
      </c>
      <c r="G14" s="38" t="s">
        <v>20</v>
      </c>
      <c r="H14" s="38" t="s">
        <v>1</v>
      </c>
      <c r="I14" s="39"/>
      <c r="J14" s="40" t="s">
        <v>1</v>
      </c>
    </row>
    <row r="15" ht="34" customHeight="1" spans="1:10" x14ac:dyDescent="0.25">
      <c r="A15" s="41" t="s">
        <v>459</v>
      </c>
      <c r="B15" s="20" t="s">
        <v>33</v>
      </c>
      <c r="C15" s="42" t="s">
        <v>460</v>
      </c>
      <c r="D15" s="24" t="s">
        <v>461</v>
      </c>
      <c r="E15" s="20" t="s">
        <v>295</v>
      </c>
      <c r="F15" s="43" t="s">
        <v>462</v>
      </c>
      <c r="G15" s="38" t="s">
        <v>20</v>
      </c>
      <c r="H15" s="38" t="s">
        <v>1</v>
      </c>
      <c r="I15" s="39"/>
      <c r="J15" s="40" t="s">
        <v>1</v>
      </c>
    </row>
    <row r="16" ht="48" customHeight="1" spans="1:10" x14ac:dyDescent="0.25">
      <c r="A16" s="41" t="s">
        <v>463</v>
      </c>
      <c r="B16" s="20" t="s">
        <v>35</v>
      </c>
      <c r="C16" s="42" t="s">
        <v>464</v>
      </c>
      <c r="D16" s="24" t="s">
        <v>465</v>
      </c>
      <c r="E16" s="20" t="s">
        <v>234</v>
      </c>
      <c r="F16" s="43" t="s">
        <v>466</v>
      </c>
      <c r="G16" s="38" t="s">
        <v>20</v>
      </c>
      <c r="H16" s="38" t="s">
        <v>1</v>
      </c>
      <c r="I16" s="39"/>
      <c r="J16" s="40" t="s">
        <v>1</v>
      </c>
    </row>
    <row r="17" ht="34" customHeight="1" spans="1:10" x14ac:dyDescent="0.25">
      <c r="A17" s="41" t="s">
        <v>467</v>
      </c>
      <c r="B17" s="20" t="s">
        <v>35</v>
      </c>
      <c r="C17" s="42" t="s">
        <v>468</v>
      </c>
      <c r="D17" s="24" t="s">
        <v>469</v>
      </c>
      <c r="E17" s="20" t="s">
        <v>295</v>
      </c>
      <c r="F17" s="43" t="s">
        <v>470</v>
      </c>
      <c r="G17" s="38" t="s">
        <v>20</v>
      </c>
      <c r="H17" s="38" t="s">
        <v>1</v>
      </c>
      <c r="I17" s="39"/>
      <c r="J17" s="40" t="s">
        <v>1</v>
      </c>
    </row>
    <row r="18" ht="20" customHeight="1" spans="1:10" x14ac:dyDescent="0.25">
      <c r="A18" s="41" t="s">
        <v>471</v>
      </c>
      <c r="B18" s="20" t="s">
        <v>35</v>
      </c>
      <c r="C18" s="42" t="s">
        <v>472</v>
      </c>
      <c r="D18" s="24" t="s">
        <v>473</v>
      </c>
      <c r="E18" s="20" t="s">
        <v>295</v>
      </c>
      <c r="F18" s="43" t="s">
        <v>474</v>
      </c>
      <c r="G18" s="38" t="s">
        <v>20</v>
      </c>
      <c r="H18" s="38" t="s">
        <v>1</v>
      </c>
      <c r="I18" s="39"/>
      <c r="J18" s="40" t="s">
        <v>1</v>
      </c>
    </row>
    <row r="19" ht="34" customHeight="1" spans="1:10" x14ac:dyDescent="0.25">
      <c r="A19" s="41" t="s">
        <v>475</v>
      </c>
      <c r="B19" s="20" t="s">
        <v>35</v>
      </c>
      <c r="C19" s="42" t="s">
        <v>476</v>
      </c>
      <c r="D19" s="24" t="s">
        <v>477</v>
      </c>
      <c r="E19" s="20" t="s">
        <v>295</v>
      </c>
      <c r="F19" s="43" t="s">
        <v>478</v>
      </c>
      <c r="G19" s="38" t="s">
        <v>20</v>
      </c>
      <c r="H19" s="38" t="s">
        <v>1</v>
      </c>
      <c r="I19" s="39"/>
      <c r="J19" s="40" t="s">
        <v>1</v>
      </c>
    </row>
    <row r="20" ht="34" customHeight="1" spans="1:10" x14ac:dyDescent="0.25">
      <c r="A20" s="41" t="s">
        <v>479</v>
      </c>
      <c r="B20" s="20" t="s">
        <v>35</v>
      </c>
      <c r="C20" s="42" t="s">
        <v>480</v>
      </c>
      <c r="D20" s="24" t="s">
        <v>481</v>
      </c>
      <c r="E20" s="20" t="s">
        <v>359</v>
      </c>
      <c r="F20" s="43" t="s">
        <v>482</v>
      </c>
      <c r="G20" s="38" t="s">
        <v>20</v>
      </c>
      <c r="H20" s="38" t="s">
        <v>1</v>
      </c>
      <c r="I20" s="39"/>
      <c r="J20" s="40" t="s">
        <v>1</v>
      </c>
    </row>
    <row r="21" ht="34" customHeight="1" spans="1:10" x14ac:dyDescent="0.25">
      <c r="A21" s="41" t="s">
        <v>483</v>
      </c>
      <c r="B21" s="20" t="s">
        <v>35</v>
      </c>
      <c r="C21" s="42" t="s">
        <v>484</v>
      </c>
      <c r="D21" s="24" t="s">
        <v>485</v>
      </c>
      <c r="E21" s="20" t="s">
        <v>359</v>
      </c>
      <c r="F21" s="43" t="s">
        <v>486</v>
      </c>
      <c r="G21" s="38" t="s">
        <v>20</v>
      </c>
      <c r="H21" s="38" t="s">
        <v>1</v>
      </c>
      <c r="I21" s="39"/>
      <c r="J21" s="40" t="s">
        <v>1</v>
      </c>
    </row>
    <row r="22" ht="34" customHeight="1" spans="1:10" x14ac:dyDescent="0.25">
      <c r="A22" s="41" t="s">
        <v>487</v>
      </c>
      <c r="B22" s="20" t="s">
        <v>35</v>
      </c>
      <c r="C22" s="42" t="s">
        <v>488</v>
      </c>
      <c r="D22" s="24" t="s">
        <v>489</v>
      </c>
      <c r="E22" s="20" t="s">
        <v>295</v>
      </c>
      <c r="F22" s="43" t="s">
        <v>490</v>
      </c>
      <c r="G22" s="38" t="s">
        <v>20</v>
      </c>
      <c r="H22" s="38" t="s">
        <v>1</v>
      </c>
      <c r="I22" s="39"/>
      <c r="J22" s="40" t="s">
        <v>1</v>
      </c>
    </row>
    <row r="23" ht="34" customHeight="1" spans="1:10" x14ac:dyDescent="0.25">
      <c r="A23" s="41" t="s">
        <v>491</v>
      </c>
      <c r="B23" s="20" t="s">
        <v>35</v>
      </c>
      <c r="C23" s="42" t="s">
        <v>492</v>
      </c>
      <c r="D23" s="24" t="s">
        <v>493</v>
      </c>
      <c r="E23" s="20" t="s">
        <v>359</v>
      </c>
      <c r="F23" s="43" t="s">
        <v>494</v>
      </c>
      <c r="G23" s="38" t="s">
        <v>20</v>
      </c>
      <c r="H23" s="38" t="s">
        <v>1</v>
      </c>
      <c r="I23" s="39"/>
      <c r="J23" s="40" t="s">
        <v>1</v>
      </c>
    </row>
    <row r="24" ht="34" customHeight="1" spans="1:10" x14ac:dyDescent="0.25">
      <c r="A24" s="41" t="s">
        <v>495</v>
      </c>
      <c r="B24" s="20" t="s">
        <v>35</v>
      </c>
      <c r="C24" s="42" t="s">
        <v>496</v>
      </c>
      <c r="D24" s="24" t="s">
        <v>497</v>
      </c>
      <c r="E24" s="20" t="s">
        <v>285</v>
      </c>
      <c r="F24" s="43" t="s">
        <v>498</v>
      </c>
      <c r="G24" s="38" t="s">
        <v>20</v>
      </c>
      <c r="H24" s="38" t="s">
        <v>1</v>
      </c>
      <c r="I24" s="39"/>
      <c r="J24" s="40" t="s">
        <v>1</v>
      </c>
    </row>
    <row r="25" ht="34" customHeight="1" spans="1:10" x14ac:dyDescent="0.25">
      <c r="A25" s="41" t="s">
        <v>499</v>
      </c>
      <c r="B25" s="20" t="s">
        <v>37</v>
      </c>
      <c r="C25" s="42" t="s">
        <v>500</v>
      </c>
      <c r="D25" s="24" t="s">
        <v>501</v>
      </c>
      <c r="E25" s="20" t="s">
        <v>295</v>
      </c>
      <c r="F25" s="43" t="s">
        <v>502</v>
      </c>
      <c r="G25" s="38" t="s">
        <v>20</v>
      </c>
      <c r="H25" s="38" t="s">
        <v>1</v>
      </c>
      <c r="I25" s="39"/>
      <c r="J25" s="40" t="s">
        <v>1</v>
      </c>
    </row>
    <row r="26" ht="34" customHeight="1" spans="1:10" x14ac:dyDescent="0.25">
      <c r="A26" s="41" t="s">
        <v>503</v>
      </c>
      <c r="B26" s="20" t="s">
        <v>39</v>
      </c>
      <c r="C26" s="42" t="s">
        <v>504</v>
      </c>
      <c r="D26" s="24" t="s">
        <v>505</v>
      </c>
      <c r="E26" s="20" t="s">
        <v>295</v>
      </c>
      <c r="F26" s="43" t="s">
        <v>506</v>
      </c>
      <c r="G26" s="38" t="s">
        <v>20</v>
      </c>
      <c r="H26" s="38" t="s">
        <v>1</v>
      </c>
      <c r="I26" s="39"/>
      <c r="J26" s="40" t="s">
        <v>1</v>
      </c>
    </row>
    <row r="27" ht="34" customHeight="1" spans="1:10" x14ac:dyDescent="0.25">
      <c r="A27" s="41" t="s">
        <v>507</v>
      </c>
      <c r="B27" s="20" t="s">
        <v>41</v>
      </c>
      <c r="C27" s="42" t="s">
        <v>508</v>
      </c>
      <c r="D27" s="24" t="s">
        <v>509</v>
      </c>
      <c r="E27" s="20" t="s">
        <v>264</v>
      </c>
      <c r="F27" s="43" t="s">
        <v>510</v>
      </c>
      <c r="G27" s="38" t="s">
        <v>20</v>
      </c>
      <c r="H27" s="38" t="s">
        <v>1</v>
      </c>
      <c r="I27" s="39"/>
      <c r="J27" s="40" t="s">
        <v>1</v>
      </c>
    </row>
    <row r="28" ht="20" customHeight="1" spans="1:10" x14ac:dyDescent="0.25">
      <c r="A28" s="41" t="s">
        <v>511</v>
      </c>
      <c r="B28" s="20" t="s">
        <v>41</v>
      </c>
      <c r="C28" s="42" t="s">
        <v>512</v>
      </c>
      <c r="D28" s="24" t="s">
        <v>513</v>
      </c>
      <c r="E28" s="20" t="s">
        <v>264</v>
      </c>
      <c r="F28" s="43" t="s">
        <v>514</v>
      </c>
      <c r="G28" s="38" t="s">
        <v>20</v>
      </c>
      <c r="H28" s="38" t="s">
        <v>1</v>
      </c>
      <c r="I28" s="39"/>
      <c r="J28" s="40" t="s">
        <v>1</v>
      </c>
    </row>
    <row r="29" ht="34" customHeight="1" spans="1:10" x14ac:dyDescent="0.25">
      <c r="A29" s="41" t="s">
        <v>515</v>
      </c>
      <c r="B29" s="20" t="s">
        <v>43</v>
      </c>
      <c r="C29" s="42" t="s">
        <v>516</v>
      </c>
      <c r="D29" s="24" t="s">
        <v>517</v>
      </c>
      <c r="E29" s="20" t="s">
        <v>295</v>
      </c>
      <c r="F29" s="43" t="s">
        <v>518</v>
      </c>
      <c r="G29" s="38" t="s">
        <v>20</v>
      </c>
      <c r="H29" s="38" t="s">
        <v>1</v>
      </c>
      <c r="I29" s="39"/>
      <c r="J29" s="40" t="s">
        <v>1</v>
      </c>
    </row>
    <row r="30" ht="34" customHeight="1" spans="1:10" x14ac:dyDescent="0.25">
      <c r="A30" s="41" t="s">
        <v>519</v>
      </c>
      <c r="B30" s="20" t="s">
        <v>43</v>
      </c>
      <c r="C30" s="42" t="s">
        <v>520</v>
      </c>
      <c r="D30" s="24" t="s">
        <v>521</v>
      </c>
      <c r="E30" s="20" t="s">
        <v>392</v>
      </c>
      <c r="F30" s="43" t="s">
        <v>522</v>
      </c>
      <c r="G30" s="38" t="s">
        <v>20</v>
      </c>
      <c r="H30" s="38" t="s">
        <v>1</v>
      </c>
      <c r="I30" s="39"/>
      <c r="J30" s="40" t="s">
        <v>1</v>
      </c>
    </row>
    <row r="31" ht="34" customHeight="1" spans="1:10" x14ac:dyDescent="0.25">
      <c r="A31" s="41" t="s">
        <v>523</v>
      </c>
      <c r="B31" s="20" t="s">
        <v>43</v>
      </c>
      <c r="C31" s="42" t="s">
        <v>524</v>
      </c>
      <c r="D31" s="24" t="s">
        <v>525</v>
      </c>
      <c r="E31" s="20" t="s">
        <v>392</v>
      </c>
      <c r="F31" s="43" t="s">
        <v>526</v>
      </c>
      <c r="G31" s="38" t="s">
        <v>20</v>
      </c>
      <c r="H31" s="38" t="s">
        <v>1</v>
      </c>
      <c r="I31" s="39"/>
      <c r="J31" s="40" t="s">
        <v>1</v>
      </c>
    </row>
    <row r="32" ht="34" customHeight="1" spans="1:10" x14ac:dyDescent="0.25">
      <c r="A32" s="41" t="s">
        <v>527</v>
      </c>
      <c r="B32" s="20" t="s">
        <v>43</v>
      </c>
      <c r="C32" s="42" t="s">
        <v>528</v>
      </c>
      <c r="D32" s="24" t="s">
        <v>529</v>
      </c>
      <c r="E32" s="20" t="s">
        <v>530</v>
      </c>
      <c r="F32" s="43" t="s">
        <v>531</v>
      </c>
      <c r="G32" s="38" t="s">
        <v>20</v>
      </c>
      <c r="H32" s="38" t="s">
        <v>1</v>
      </c>
      <c r="I32" s="39"/>
      <c r="J32" s="40" t="s">
        <v>1</v>
      </c>
    </row>
    <row r="33" ht="34" customHeight="1" spans="1:10" x14ac:dyDescent="0.25">
      <c r="A33" s="41" t="s">
        <v>532</v>
      </c>
      <c r="B33" s="20" t="s">
        <v>43</v>
      </c>
      <c r="C33" s="42" t="s">
        <v>533</v>
      </c>
      <c r="D33" s="24" t="s">
        <v>534</v>
      </c>
      <c r="E33" s="20" t="s">
        <v>359</v>
      </c>
      <c r="F33" s="43" t="s">
        <v>494</v>
      </c>
      <c r="G33" s="38" t="s">
        <v>20</v>
      </c>
      <c r="H33" s="38" t="s">
        <v>1</v>
      </c>
      <c r="I33" s="39"/>
      <c r="J33" s="40" t="s">
        <v>1</v>
      </c>
    </row>
    <row r="34" ht="48" customHeight="1" spans="1:10" x14ac:dyDescent="0.25">
      <c r="A34" s="41" t="s">
        <v>535</v>
      </c>
      <c r="B34" s="20" t="s">
        <v>45</v>
      </c>
      <c r="C34" s="42" t="s">
        <v>536</v>
      </c>
      <c r="D34" s="24" t="s">
        <v>537</v>
      </c>
      <c r="E34" s="20" t="s">
        <v>295</v>
      </c>
      <c r="F34" s="43" t="s">
        <v>538</v>
      </c>
      <c r="G34" s="38" t="s">
        <v>20</v>
      </c>
      <c r="H34" s="38" t="s">
        <v>1</v>
      </c>
      <c r="I34" s="39"/>
      <c r="J34" s="40" t="s">
        <v>1</v>
      </c>
    </row>
    <row r="35" ht="48" customHeight="1" spans="1:10" x14ac:dyDescent="0.25">
      <c r="A35" s="41" t="s">
        <v>539</v>
      </c>
      <c r="B35" s="20" t="s">
        <v>45</v>
      </c>
      <c r="C35" s="42" t="s">
        <v>540</v>
      </c>
      <c r="D35" s="24" t="s">
        <v>541</v>
      </c>
      <c r="E35" s="20" t="s">
        <v>295</v>
      </c>
      <c r="F35" s="43" t="s">
        <v>542</v>
      </c>
      <c r="G35" s="38" t="s">
        <v>20</v>
      </c>
      <c r="H35" s="38" t="s">
        <v>1</v>
      </c>
      <c r="I35" s="39"/>
      <c r="J35" s="40" t="s">
        <v>1</v>
      </c>
    </row>
    <row r="36" ht="34" customHeight="1" spans="1:10" x14ac:dyDescent="0.25">
      <c r="A36" s="41" t="s">
        <v>543</v>
      </c>
      <c r="B36" s="20" t="s">
        <v>45</v>
      </c>
      <c r="C36" s="42" t="s">
        <v>544</v>
      </c>
      <c r="D36" s="24" t="s">
        <v>545</v>
      </c>
      <c r="E36" s="20" t="s">
        <v>295</v>
      </c>
      <c r="F36" s="43" t="s">
        <v>546</v>
      </c>
      <c r="G36" s="38" t="s">
        <v>20</v>
      </c>
      <c r="H36" s="38" t="s">
        <v>1</v>
      </c>
      <c r="I36" s="39"/>
      <c r="J36" s="40" t="s">
        <v>1</v>
      </c>
    </row>
    <row r="37" ht="34" customHeight="1" spans="1:10" x14ac:dyDescent="0.25">
      <c r="A37" s="41" t="s">
        <v>547</v>
      </c>
      <c r="B37" s="20" t="s">
        <v>45</v>
      </c>
      <c r="C37" s="42" t="s">
        <v>548</v>
      </c>
      <c r="D37" s="24" t="s">
        <v>549</v>
      </c>
      <c r="E37" s="20" t="s">
        <v>550</v>
      </c>
      <c r="F37" s="43" t="s">
        <v>551</v>
      </c>
      <c r="G37" s="38" t="s">
        <v>20</v>
      </c>
      <c r="H37" s="38" t="s">
        <v>1</v>
      </c>
      <c r="I37" s="39"/>
      <c r="J37" s="40" t="s">
        <v>1</v>
      </c>
    </row>
    <row r="38" ht="48" customHeight="1" spans="1:10" x14ac:dyDescent="0.25">
      <c r="A38" s="33" t="s">
        <v>552</v>
      </c>
      <c r="B38" s="34" t="s">
        <v>47</v>
      </c>
      <c r="C38" s="35" t="s">
        <v>289</v>
      </c>
      <c r="D38" s="36" t="s">
        <v>553</v>
      </c>
      <c r="E38" s="34" t="s">
        <v>290</v>
      </c>
      <c r="F38" s="37" t="s">
        <v>291</v>
      </c>
      <c r="G38" s="38" t="s">
        <v>20</v>
      </c>
      <c r="H38" s="38" t="s">
        <v>1</v>
      </c>
      <c r="I38" s="39"/>
      <c r="J38" s="40" t="s">
        <v>1</v>
      </c>
    </row>
    <row r="39" ht="34" customHeight="1" spans="1:10" x14ac:dyDescent="0.25">
      <c r="A39" s="33" t="s">
        <v>554</v>
      </c>
      <c r="B39" s="34" t="s">
        <v>47</v>
      </c>
      <c r="C39" s="35" t="s">
        <v>425</v>
      </c>
      <c r="D39" s="36" t="s">
        <v>555</v>
      </c>
      <c r="E39" s="34" t="s">
        <v>427</v>
      </c>
      <c r="F39" s="37" t="s">
        <v>556</v>
      </c>
      <c r="G39" s="38" t="s">
        <v>20</v>
      </c>
      <c r="H39" s="38" t="s">
        <v>1</v>
      </c>
      <c r="I39" s="39"/>
      <c r="J39" s="40" t="s">
        <v>1</v>
      </c>
    </row>
    <row r="40" ht="34" customHeight="1" spans="1:10" x14ac:dyDescent="0.25">
      <c r="A40" s="33" t="s">
        <v>557</v>
      </c>
      <c r="B40" s="34" t="s">
        <v>47</v>
      </c>
      <c r="C40" s="35" t="s">
        <v>558</v>
      </c>
      <c r="D40" s="36" t="s">
        <v>559</v>
      </c>
      <c r="E40" s="34" t="s">
        <v>295</v>
      </c>
      <c r="F40" s="37" t="s">
        <v>560</v>
      </c>
      <c r="G40" s="38" t="s">
        <v>20</v>
      </c>
      <c r="H40" s="38" t="s">
        <v>1</v>
      </c>
      <c r="I40" s="39"/>
      <c r="J40" s="40" t="s">
        <v>1</v>
      </c>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sheetData>
  <autoFilter ref="A8:J40"/>
  <mergeCells count="6">
    <mergeCell ref="A1:I1"/>
    <mergeCell ref="B2:J2"/>
    <mergeCell ref="B3:J3"/>
    <mergeCell ref="B4:J4"/>
    <mergeCell ref="B5:J5"/>
    <mergeCell ref="A7:J7"/>
  </mergeCells>
  <conditionalFormatting sqref="J6">
    <cfRule type="cellIs" dxfId="42" priority="1" operator="equal">
      <formula>"Done"</formula>
    </cfRule>
    <cfRule type="cellIs" dxfId="43" priority="2" operator="equal">
      <formula>"Complete"</formula>
    </cfRule>
    <cfRule type="cellIs" dxfId="44" priority="3" operator="equal">
      <formula>"In progress"</formula>
    </cfRule>
    <cfRule type="cellIs" dxfId="45" priority="4" operator="equal">
      <formula>"Blocked"</formula>
    </cfRule>
    <cfRule type="cellIs" dxfId="46" priority="5" operator="equal">
      <formula>"N/A"</formula>
    </cfRule>
    <cfRule type="cellIs" dxfId="47" priority="6" operator="equal">
      <formula>"Decided"</formula>
    </cfRule>
    <cfRule type="cellIs" dxfId="48" priority="7" operator="equal">
      <formula>"Open"</formula>
    </cfRule>
  </conditionalFormatting>
  <conditionalFormatting sqref="A7">
    <cfRule type="containsText" dxfId="49" priority="8">
      <formula>NOT(ISERROR(SEARCH("LOCKED",A7)))</formula>
    </cfRule>
    <cfRule type="containsText" dxfId="50" priority="9">
      <formula>NOT(ISERROR(SEARCH("READY",A7)))</formula>
    </cfRule>
  </conditionalFormatting>
  <conditionalFormatting sqref="G9:G400">
    <cfRule type="cellIs" dxfId="51" priority="10" operator="equal">
      <formula>"Done"</formula>
    </cfRule>
    <cfRule type="cellIs" dxfId="52" priority="11" operator="equal">
      <formula>"Complete"</formula>
    </cfRule>
    <cfRule type="cellIs" dxfId="53" priority="12" operator="equal">
      <formula>"In progress"</formula>
    </cfRule>
    <cfRule type="cellIs" dxfId="54" priority="13" operator="equal">
      <formula>"Blocked"</formula>
    </cfRule>
    <cfRule type="cellIs" dxfId="55" priority="14" operator="equal">
      <formula>"N/A"</formula>
    </cfRule>
    <cfRule type="cellIs" dxfId="56" priority="15" operator="equal">
      <formula>"Decided"</formula>
    </cfRule>
    <cfRule type="cellIs" dxfId="57" priority="16" operator="equal">
      <formula>"Open"</formula>
    </cfRule>
  </conditionalFormatting>
  <dataValidations count="4">
    <dataValidation type="list" allowBlank="1" showErrorMessage="1" errorTitle="Status" error="Choose a value from the list." sqref="G10:G55">
      <formula1>"Not started,In progress,Blocked,Done,N/A"</formula1>
    </dataValidation>
    <dataValidation type="list" allowBlank="1" showErrorMessage="1" errorTitle="Status" error="Choose a value from the list." sqref="G9:G55">
      <formula1>"Not started,In progress,Blocked,Done,N/A"</formula1>
    </dataValidation>
    <dataValidation type="date" operator="greaterThan" allowBlank="1" showErrorMessage="1" errorTitle="Date done" error="Enter a date (yyyy-mm-dd)." sqref="I10:I55">
      <formula1>46023</formula1>
    </dataValidation>
    <dataValidation type="date" operator="greaterThan" allowBlank="1" showErrorMessage="1" errorTitle="Date done" error="Enter a date (yyyy-mm-dd)." sqref="I9:I55">
      <formula1>46023</formula1>
    </dataValidation>
  </dataValidations>
  <hyperlinks>
    <hyperlink ref="J1" r:id="rId1" location="#'Dashboard'!A1"/>
  </hyperlinks>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3"/>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561</v>
      </c>
      <c r="B1" s="27"/>
      <c r="C1" s="27"/>
      <c r="D1" s="27"/>
      <c r="E1" s="27"/>
      <c r="F1" s="27"/>
      <c r="G1" s="27"/>
      <c r="H1" s="27"/>
      <c r="I1" s="27"/>
      <c r="J1" s="28" t="s">
        <v>202</v>
      </c>
    </row>
    <row r="2" ht="17" customHeight="1" spans="1:10" x14ac:dyDescent="0.25">
      <c r="A2" s="29" t="s">
        <v>203</v>
      </c>
      <c r="B2" s="6" t="s">
        <v>562</v>
      </c>
      <c r="C2" s="6"/>
      <c r="D2" s="6"/>
      <c r="E2" s="6"/>
      <c r="F2" s="6"/>
      <c r="G2" s="6"/>
      <c r="H2" s="6"/>
      <c r="I2" s="6"/>
      <c r="J2" s="6"/>
    </row>
    <row r="3" ht="30" customHeight="1" spans="1:10" x14ac:dyDescent="0.25">
      <c r="A3" s="29" t="s">
        <v>205</v>
      </c>
      <c r="B3" s="6" t="s">
        <v>563</v>
      </c>
      <c r="C3" s="6"/>
      <c r="D3" s="6"/>
      <c r="E3" s="6"/>
      <c r="F3" s="6"/>
      <c r="G3" s="6"/>
      <c r="H3" s="6"/>
      <c r="I3" s="6"/>
      <c r="J3" s="6"/>
    </row>
    <row r="4" ht="17" customHeight="1" spans="1:10" x14ac:dyDescent="0.25">
      <c r="A4" s="29" t="s">
        <v>207</v>
      </c>
      <c r="B4" s="6" t="s">
        <v>564</v>
      </c>
      <c r="C4" s="6"/>
      <c r="D4" s="6"/>
      <c r="E4" s="6"/>
      <c r="F4" s="6"/>
      <c r="G4" s="6"/>
      <c r="H4" s="6"/>
      <c r="I4" s="6"/>
      <c r="J4" s="6"/>
    </row>
    <row r="5" ht="17" customHeight="1" spans="1:10" x14ac:dyDescent="0.25">
      <c r="A5" s="29" t="s">
        <v>98</v>
      </c>
      <c r="B5" s="2" t="s">
        <v>119</v>
      </c>
      <c r="C5" s="2"/>
      <c r="D5" s="2"/>
      <c r="E5" s="2"/>
      <c r="F5" s="2"/>
      <c r="G5" s="2"/>
      <c r="H5" s="2"/>
      <c r="I5" s="2"/>
      <c r="J5" s="2"/>
    </row>
    <row r="6" spans="1:10" x14ac:dyDescent="0.25">
      <c r="A6" s="17" t="s">
        <v>92</v>
      </c>
      <c r="B6" s="30">
        <f>IF(D6=0,0,F6/D6)</f>
        <v>0</v>
      </c>
      <c r="C6" s="17" t="s">
        <v>91</v>
      </c>
      <c r="D6" s="31">
        <f>COUNTA(C9:C400)</f>
        <v>30</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IF('M03 Access'!$B$6=1,"READY: M03 is complete. Work the steps in order, 0 Gate in to 8 Gate out.","LOCKED: finish M03 Access first. Do not start work on this sheet.")</f>
        <v>LOCKED: finish M03 Access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565</v>
      </c>
      <c r="B9" s="34" t="s">
        <v>31</v>
      </c>
      <c r="C9" s="35" t="s">
        <v>566</v>
      </c>
      <c r="D9" s="36" t="s">
        <v>567</v>
      </c>
      <c r="E9" s="34" t="s">
        <v>290</v>
      </c>
      <c r="F9" s="37" t="s">
        <v>304</v>
      </c>
      <c r="G9" s="38" t="s">
        <v>20</v>
      </c>
      <c r="H9" s="38" t="s">
        <v>1</v>
      </c>
      <c r="I9" s="39"/>
      <c r="J9" s="40" t="s">
        <v>1</v>
      </c>
    </row>
    <row r="10" ht="34" customHeight="1" spans="1:10" x14ac:dyDescent="0.25">
      <c r="A10" s="33" t="s">
        <v>568</v>
      </c>
      <c r="B10" s="34" t="s">
        <v>31</v>
      </c>
      <c r="C10" s="35" t="s">
        <v>441</v>
      </c>
      <c r="D10" s="36" t="s">
        <v>569</v>
      </c>
      <c r="E10" s="34" t="s">
        <v>443</v>
      </c>
      <c r="F10" s="37" t="s">
        <v>444</v>
      </c>
      <c r="G10" s="38" t="s">
        <v>20</v>
      </c>
      <c r="H10" s="38" t="s">
        <v>1</v>
      </c>
      <c r="I10" s="39"/>
      <c r="J10" s="40" t="s">
        <v>1</v>
      </c>
    </row>
    <row r="11" ht="34" customHeight="1" spans="1:10" x14ac:dyDescent="0.25">
      <c r="A11" s="33" t="s">
        <v>570</v>
      </c>
      <c r="B11" s="34" t="s">
        <v>31</v>
      </c>
      <c r="C11" s="35" t="s">
        <v>306</v>
      </c>
      <c r="D11" s="36" t="s">
        <v>571</v>
      </c>
      <c r="E11" s="34" t="s">
        <v>308</v>
      </c>
      <c r="F11" s="37" t="s">
        <v>309</v>
      </c>
      <c r="G11" s="38" t="s">
        <v>20</v>
      </c>
      <c r="H11" s="38" t="s">
        <v>1</v>
      </c>
      <c r="I11" s="39"/>
      <c r="J11" s="40" t="s">
        <v>1</v>
      </c>
    </row>
    <row r="12" ht="76" customHeight="1" spans="1:10" x14ac:dyDescent="0.25">
      <c r="A12" s="41" t="s">
        <v>572</v>
      </c>
      <c r="B12" s="20" t="s">
        <v>33</v>
      </c>
      <c r="C12" s="42" t="s">
        <v>448</v>
      </c>
      <c r="D12" s="24" t="s">
        <v>573</v>
      </c>
      <c r="E12" s="20" t="s">
        <v>295</v>
      </c>
      <c r="F12" s="43" t="s">
        <v>574</v>
      </c>
      <c r="G12" s="38" t="s">
        <v>20</v>
      </c>
      <c r="H12" s="38" t="s">
        <v>1</v>
      </c>
      <c r="I12" s="39"/>
      <c r="J12" s="40" t="s">
        <v>1</v>
      </c>
    </row>
    <row r="13" ht="48" customHeight="1" spans="1:10" x14ac:dyDescent="0.25">
      <c r="A13" s="41" t="s">
        <v>575</v>
      </c>
      <c r="B13" s="20" t="s">
        <v>33</v>
      </c>
      <c r="C13" s="42" t="s">
        <v>456</v>
      </c>
      <c r="D13" s="24" t="s">
        <v>457</v>
      </c>
      <c r="E13" s="20" t="s">
        <v>295</v>
      </c>
      <c r="F13" s="43" t="s">
        <v>458</v>
      </c>
      <c r="G13" s="38" t="s">
        <v>20</v>
      </c>
      <c r="H13" s="38" t="s">
        <v>1</v>
      </c>
      <c r="I13" s="39"/>
      <c r="J13" s="40" t="s">
        <v>1</v>
      </c>
    </row>
    <row r="14" ht="34" customHeight="1" spans="1:10" x14ac:dyDescent="0.25">
      <c r="A14" s="41" t="s">
        <v>576</v>
      </c>
      <c r="B14" s="20" t="s">
        <v>33</v>
      </c>
      <c r="C14" s="42" t="s">
        <v>460</v>
      </c>
      <c r="D14" s="24" t="s">
        <v>577</v>
      </c>
      <c r="E14" s="20" t="s">
        <v>295</v>
      </c>
      <c r="F14" s="43" t="s">
        <v>462</v>
      </c>
      <c r="G14" s="38" t="s">
        <v>20</v>
      </c>
      <c r="H14" s="38" t="s">
        <v>1</v>
      </c>
      <c r="I14" s="39"/>
      <c r="J14" s="40" t="s">
        <v>1</v>
      </c>
    </row>
    <row r="15" ht="34" customHeight="1" spans="1:10" x14ac:dyDescent="0.25">
      <c r="A15" s="41" t="s">
        <v>578</v>
      </c>
      <c r="B15" s="20" t="s">
        <v>35</v>
      </c>
      <c r="C15" s="42" t="s">
        <v>579</v>
      </c>
      <c r="D15" s="24" t="s">
        <v>580</v>
      </c>
      <c r="E15" s="20" t="s">
        <v>295</v>
      </c>
      <c r="F15" s="43" t="s">
        <v>581</v>
      </c>
      <c r="G15" s="38" t="s">
        <v>20</v>
      </c>
      <c r="H15" s="38" t="s">
        <v>1</v>
      </c>
      <c r="I15" s="39"/>
      <c r="J15" s="40" t="s">
        <v>1</v>
      </c>
    </row>
    <row r="16" ht="34" customHeight="1" spans="1:10" x14ac:dyDescent="0.25">
      <c r="A16" s="41" t="s">
        <v>582</v>
      </c>
      <c r="B16" s="20" t="s">
        <v>35</v>
      </c>
      <c r="C16" s="42" t="s">
        <v>583</v>
      </c>
      <c r="D16" s="24" t="s">
        <v>584</v>
      </c>
      <c r="E16" s="20" t="s">
        <v>295</v>
      </c>
      <c r="F16" s="43" t="s">
        <v>585</v>
      </c>
      <c r="G16" s="38" t="s">
        <v>20</v>
      </c>
      <c r="H16" s="38" t="s">
        <v>1</v>
      </c>
      <c r="I16" s="39"/>
      <c r="J16" s="40" t="s">
        <v>1</v>
      </c>
    </row>
    <row r="17" ht="34" customHeight="1" spans="1:10" x14ac:dyDescent="0.25">
      <c r="A17" s="41" t="s">
        <v>586</v>
      </c>
      <c r="B17" s="20" t="s">
        <v>35</v>
      </c>
      <c r="C17" s="42" t="s">
        <v>587</v>
      </c>
      <c r="D17" s="24" t="s">
        <v>588</v>
      </c>
      <c r="E17" s="20" t="s">
        <v>295</v>
      </c>
      <c r="F17" s="43" t="s">
        <v>589</v>
      </c>
      <c r="G17" s="38" t="s">
        <v>20</v>
      </c>
      <c r="H17" s="38" t="s">
        <v>1</v>
      </c>
      <c r="I17" s="39"/>
      <c r="J17" s="40" t="s">
        <v>1</v>
      </c>
    </row>
    <row r="18" ht="48" customHeight="1" spans="1:10" x14ac:dyDescent="0.25">
      <c r="A18" s="41" t="s">
        <v>590</v>
      </c>
      <c r="B18" s="20" t="s">
        <v>35</v>
      </c>
      <c r="C18" s="42" t="s">
        <v>591</v>
      </c>
      <c r="D18" s="24" t="s">
        <v>592</v>
      </c>
      <c r="E18" s="20" t="s">
        <v>295</v>
      </c>
      <c r="F18" s="43" t="s">
        <v>593</v>
      </c>
      <c r="G18" s="38" t="s">
        <v>20</v>
      </c>
      <c r="H18" s="38" t="s">
        <v>1</v>
      </c>
      <c r="I18" s="39"/>
      <c r="J18" s="40" t="s">
        <v>1</v>
      </c>
    </row>
    <row r="19" ht="34" customHeight="1" spans="1:10" x14ac:dyDescent="0.25">
      <c r="A19" s="41" t="s">
        <v>594</v>
      </c>
      <c r="B19" s="20" t="s">
        <v>35</v>
      </c>
      <c r="C19" s="42" t="s">
        <v>595</v>
      </c>
      <c r="D19" s="24" t="s">
        <v>596</v>
      </c>
      <c r="E19" s="20" t="s">
        <v>295</v>
      </c>
      <c r="F19" s="43" t="s">
        <v>597</v>
      </c>
      <c r="G19" s="38" t="s">
        <v>20</v>
      </c>
      <c r="H19" s="38" t="s">
        <v>1</v>
      </c>
      <c r="I19" s="39"/>
      <c r="J19" s="40" t="s">
        <v>1</v>
      </c>
    </row>
    <row r="20" ht="34" customHeight="1" spans="1:10" x14ac:dyDescent="0.25">
      <c r="A20" s="41" t="s">
        <v>598</v>
      </c>
      <c r="B20" s="20" t="s">
        <v>35</v>
      </c>
      <c r="C20" s="42" t="s">
        <v>599</v>
      </c>
      <c r="D20" s="24" t="s">
        <v>600</v>
      </c>
      <c r="E20" s="20" t="s">
        <v>295</v>
      </c>
      <c r="F20" s="43" t="s">
        <v>601</v>
      </c>
      <c r="G20" s="38" t="s">
        <v>20</v>
      </c>
      <c r="H20" s="38" t="s">
        <v>1</v>
      </c>
      <c r="I20" s="39"/>
      <c r="J20" s="40" t="s">
        <v>1</v>
      </c>
    </row>
    <row r="21" ht="48" customHeight="1" spans="1:10" x14ac:dyDescent="0.25">
      <c r="A21" s="41" t="s">
        <v>602</v>
      </c>
      <c r="B21" s="20" t="s">
        <v>35</v>
      </c>
      <c r="C21" s="42" t="s">
        <v>603</v>
      </c>
      <c r="D21" s="24" t="s">
        <v>604</v>
      </c>
      <c r="E21" s="20" t="s">
        <v>605</v>
      </c>
      <c r="F21" s="43" t="s">
        <v>606</v>
      </c>
      <c r="G21" s="38" t="s">
        <v>20</v>
      </c>
      <c r="H21" s="38" t="s">
        <v>1</v>
      </c>
      <c r="I21" s="39"/>
      <c r="J21" s="40" t="s">
        <v>1</v>
      </c>
    </row>
    <row r="22" ht="20" customHeight="1" spans="1:10" x14ac:dyDescent="0.25">
      <c r="A22" s="41" t="s">
        <v>607</v>
      </c>
      <c r="B22" s="20" t="s">
        <v>37</v>
      </c>
      <c r="C22" s="42" t="s">
        <v>608</v>
      </c>
      <c r="D22" s="24" t="s">
        <v>609</v>
      </c>
      <c r="E22" s="20" t="s">
        <v>295</v>
      </c>
      <c r="F22" s="43" t="s">
        <v>610</v>
      </c>
      <c r="G22" s="38" t="s">
        <v>20</v>
      </c>
      <c r="H22" s="38" t="s">
        <v>1</v>
      </c>
      <c r="I22" s="39"/>
      <c r="J22" s="40" t="s">
        <v>1</v>
      </c>
    </row>
    <row r="23" ht="34" customHeight="1" spans="1:10" x14ac:dyDescent="0.25">
      <c r="A23" s="41" t="s">
        <v>611</v>
      </c>
      <c r="B23" s="20" t="s">
        <v>37</v>
      </c>
      <c r="C23" s="42" t="s">
        <v>612</v>
      </c>
      <c r="D23" s="24" t="s">
        <v>613</v>
      </c>
      <c r="E23" s="20" t="s">
        <v>295</v>
      </c>
      <c r="F23" s="43" t="s">
        <v>614</v>
      </c>
      <c r="G23" s="38" t="s">
        <v>20</v>
      </c>
      <c r="H23" s="38" t="s">
        <v>1</v>
      </c>
      <c r="I23" s="39"/>
      <c r="J23" s="40" t="s">
        <v>1</v>
      </c>
    </row>
    <row r="24" ht="34" customHeight="1" spans="1:10" x14ac:dyDescent="0.25">
      <c r="A24" s="41" t="s">
        <v>615</v>
      </c>
      <c r="B24" s="20" t="s">
        <v>37</v>
      </c>
      <c r="C24" s="42" t="s">
        <v>616</v>
      </c>
      <c r="D24" s="24" t="s">
        <v>617</v>
      </c>
      <c r="E24" s="20" t="s">
        <v>295</v>
      </c>
      <c r="F24" s="43" t="s">
        <v>618</v>
      </c>
      <c r="G24" s="38" t="s">
        <v>20</v>
      </c>
      <c r="H24" s="38" t="s">
        <v>1</v>
      </c>
      <c r="I24" s="39"/>
      <c r="J24" s="40" t="s">
        <v>1</v>
      </c>
    </row>
    <row r="25" ht="34" customHeight="1" spans="1:10" x14ac:dyDescent="0.25">
      <c r="A25" s="41" t="s">
        <v>619</v>
      </c>
      <c r="B25" s="20" t="s">
        <v>39</v>
      </c>
      <c r="C25" s="42" t="s">
        <v>620</v>
      </c>
      <c r="D25" s="24" t="s">
        <v>621</v>
      </c>
      <c r="E25" s="20" t="s">
        <v>295</v>
      </c>
      <c r="F25" s="43" t="s">
        <v>622</v>
      </c>
      <c r="G25" s="38" t="s">
        <v>20</v>
      </c>
      <c r="H25" s="38" t="s">
        <v>1</v>
      </c>
      <c r="I25" s="39"/>
      <c r="J25" s="40" t="s">
        <v>1</v>
      </c>
    </row>
    <row r="26" ht="34" customHeight="1" spans="1:10" x14ac:dyDescent="0.25">
      <c r="A26" s="41" t="s">
        <v>623</v>
      </c>
      <c r="B26" s="20" t="s">
        <v>41</v>
      </c>
      <c r="C26" s="42" t="s">
        <v>624</v>
      </c>
      <c r="D26" s="24" t="s">
        <v>625</v>
      </c>
      <c r="E26" s="20" t="s">
        <v>264</v>
      </c>
      <c r="F26" s="43" t="s">
        <v>626</v>
      </c>
      <c r="G26" s="38" t="s">
        <v>20</v>
      </c>
      <c r="H26" s="38" t="s">
        <v>1</v>
      </c>
      <c r="I26" s="39"/>
      <c r="J26" s="40" t="s">
        <v>1</v>
      </c>
    </row>
    <row r="27" ht="20" customHeight="1" spans="1:10" x14ac:dyDescent="0.25">
      <c r="A27" s="41" t="s">
        <v>627</v>
      </c>
      <c r="B27" s="20" t="s">
        <v>41</v>
      </c>
      <c r="C27" s="42" t="s">
        <v>628</v>
      </c>
      <c r="D27" s="24" t="s">
        <v>629</v>
      </c>
      <c r="E27" s="20" t="s">
        <v>264</v>
      </c>
      <c r="F27" s="43" t="s">
        <v>630</v>
      </c>
      <c r="G27" s="38" t="s">
        <v>20</v>
      </c>
      <c r="H27" s="38" t="s">
        <v>1</v>
      </c>
      <c r="I27" s="39"/>
      <c r="J27" s="40" t="s">
        <v>1</v>
      </c>
    </row>
    <row r="28" ht="34" customHeight="1" spans="1:10" x14ac:dyDescent="0.25">
      <c r="A28" s="41" t="s">
        <v>631</v>
      </c>
      <c r="B28" s="20" t="s">
        <v>43</v>
      </c>
      <c r="C28" s="42" t="s">
        <v>516</v>
      </c>
      <c r="D28" s="24" t="s">
        <v>517</v>
      </c>
      <c r="E28" s="20" t="s">
        <v>295</v>
      </c>
      <c r="F28" s="43" t="s">
        <v>518</v>
      </c>
      <c r="G28" s="38" t="s">
        <v>20</v>
      </c>
      <c r="H28" s="38" t="s">
        <v>1</v>
      </c>
      <c r="I28" s="39"/>
      <c r="J28" s="40" t="s">
        <v>1</v>
      </c>
    </row>
    <row r="29" ht="34" customHeight="1" spans="1:10" x14ac:dyDescent="0.25">
      <c r="A29" s="41" t="s">
        <v>632</v>
      </c>
      <c r="B29" s="20" t="s">
        <v>43</v>
      </c>
      <c r="C29" s="42" t="s">
        <v>520</v>
      </c>
      <c r="D29" s="24" t="s">
        <v>521</v>
      </c>
      <c r="E29" s="20" t="s">
        <v>392</v>
      </c>
      <c r="F29" s="43" t="s">
        <v>522</v>
      </c>
      <c r="G29" s="38" t="s">
        <v>20</v>
      </c>
      <c r="H29" s="38" t="s">
        <v>1</v>
      </c>
      <c r="I29" s="39"/>
      <c r="J29" s="40" t="s">
        <v>1</v>
      </c>
    </row>
    <row r="30" ht="34" customHeight="1" spans="1:10" x14ac:dyDescent="0.25">
      <c r="A30" s="41" t="s">
        <v>633</v>
      </c>
      <c r="B30" s="20" t="s">
        <v>43</v>
      </c>
      <c r="C30" s="42" t="s">
        <v>524</v>
      </c>
      <c r="D30" s="24" t="s">
        <v>525</v>
      </c>
      <c r="E30" s="20" t="s">
        <v>392</v>
      </c>
      <c r="F30" s="43" t="s">
        <v>526</v>
      </c>
      <c r="G30" s="38" t="s">
        <v>20</v>
      </c>
      <c r="H30" s="38" t="s">
        <v>1</v>
      </c>
      <c r="I30" s="39"/>
      <c r="J30" s="40" t="s">
        <v>1</v>
      </c>
    </row>
    <row r="31" ht="34" customHeight="1" spans="1:10" x14ac:dyDescent="0.25">
      <c r="A31" s="41" t="s">
        <v>634</v>
      </c>
      <c r="B31" s="20" t="s">
        <v>43</v>
      </c>
      <c r="C31" s="42" t="s">
        <v>635</v>
      </c>
      <c r="D31" s="24" t="s">
        <v>636</v>
      </c>
      <c r="E31" s="20" t="s">
        <v>392</v>
      </c>
      <c r="F31" s="43" t="s">
        <v>637</v>
      </c>
      <c r="G31" s="38" t="s">
        <v>20</v>
      </c>
      <c r="H31" s="38" t="s">
        <v>1</v>
      </c>
      <c r="I31" s="39"/>
      <c r="J31" s="40" t="s">
        <v>1</v>
      </c>
    </row>
    <row r="32" ht="48" customHeight="1" spans="1:10" x14ac:dyDescent="0.25">
      <c r="A32" s="41" t="s">
        <v>638</v>
      </c>
      <c r="B32" s="20" t="s">
        <v>45</v>
      </c>
      <c r="C32" s="42" t="s">
        <v>536</v>
      </c>
      <c r="D32" s="24" t="s">
        <v>537</v>
      </c>
      <c r="E32" s="20" t="s">
        <v>295</v>
      </c>
      <c r="F32" s="43" t="s">
        <v>538</v>
      </c>
      <c r="G32" s="38" t="s">
        <v>20</v>
      </c>
      <c r="H32" s="38" t="s">
        <v>1</v>
      </c>
      <c r="I32" s="39"/>
      <c r="J32" s="40" t="s">
        <v>1</v>
      </c>
    </row>
    <row r="33" ht="48" customHeight="1" spans="1:10" x14ac:dyDescent="0.25">
      <c r="A33" s="41" t="s">
        <v>639</v>
      </c>
      <c r="B33" s="20" t="s">
        <v>45</v>
      </c>
      <c r="C33" s="42" t="s">
        <v>540</v>
      </c>
      <c r="D33" s="24" t="s">
        <v>640</v>
      </c>
      <c r="E33" s="20" t="s">
        <v>295</v>
      </c>
      <c r="F33" s="43" t="s">
        <v>542</v>
      </c>
      <c r="G33" s="38" t="s">
        <v>20</v>
      </c>
      <c r="H33" s="38" t="s">
        <v>1</v>
      </c>
      <c r="I33" s="39"/>
      <c r="J33" s="40" t="s">
        <v>1</v>
      </c>
    </row>
    <row r="34" ht="34" customHeight="1" spans="1:10" x14ac:dyDescent="0.25">
      <c r="A34" s="41" t="s">
        <v>641</v>
      </c>
      <c r="B34" s="20" t="s">
        <v>45</v>
      </c>
      <c r="C34" s="42" t="s">
        <v>544</v>
      </c>
      <c r="D34" s="24" t="s">
        <v>545</v>
      </c>
      <c r="E34" s="20" t="s">
        <v>295</v>
      </c>
      <c r="F34" s="43" t="s">
        <v>546</v>
      </c>
      <c r="G34" s="38" t="s">
        <v>20</v>
      </c>
      <c r="H34" s="38" t="s">
        <v>1</v>
      </c>
      <c r="I34" s="39"/>
      <c r="J34" s="40" t="s">
        <v>1</v>
      </c>
    </row>
    <row r="35" ht="34" customHeight="1" spans="1:10" x14ac:dyDescent="0.25">
      <c r="A35" s="41" t="s">
        <v>642</v>
      </c>
      <c r="B35" s="20" t="s">
        <v>45</v>
      </c>
      <c r="C35" s="42" t="s">
        <v>548</v>
      </c>
      <c r="D35" s="24" t="s">
        <v>643</v>
      </c>
      <c r="E35" s="20" t="s">
        <v>550</v>
      </c>
      <c r="F35" s="43" t="s">
        <v>551</v>
      </c>
      <c r="G35" s="38" t="s">
        <v>20</v>
      </c>
      <c r="H35" s="38" t="s">
        <v>1</v>
      </c>
      <c r="I35" s="39"/>
      <c r="J35" s="40" t="s">
        <v>1</v>
      </c>
    </row>
    <row r="36" ht="48" customHeight="1" spans="1:10" x14ac:dyDescent="0.25">
      <c r="A36" s="33" t="s">
        <v>644</v>
      </c>
      <c r="B36" s="34" t="s">
        <v>47</v>
      </c>
      <c r="C36" s="35" t="s">
        <v>289</v>
      </c>
      <c r="D36" s="36" t="s">
        <v>645</v>
      </c>
      <c r="E36" s="34" t="s">
        <v>290</v>
      </c>
      <c r="F36" s="37" t="s">
        <v>291</v>
      </c>
      <c r="G36" s="38" t="s">
        <v>20</v>
      </c>
      <c r="H36" s="38" t="s">
        <v>1</v>
      </c>
      <c r="I36" s="39"/>
      <c r="J36" s="40" t="s">
        <v>1</v>
      </c>
    </row>
    <row r="37" ht="34" customHeight="1" spans="1:10" x14ac:dyDescent="0.25">
      <c r="A37" s="33" t="s">
        <v>646</v>
      </c>
      <c r="B37" s="34" t="s">
        <v>47</v>
      </c>
      <c r="C37" s="35" t="s">
        <v>425</v>
      </c>
      <c r="D37" s="36" t="s">
        <v>647</v>
      </c>
      <c r="E37" s="34" t="s">
        <v>648</v>
      </c>
      <c r="F37" s="37" t="s">
        <v>556</v>
      </c>
      <c r="G37" s="38" t="s">
        <v>20</v>
      </c>
      <c r="H37" s="38" t="s">
        <v>1</v>
      </c>
      <c r="I37" s="39"/>
      <c r="J37" s="40" t="s">
        <v>1</v>
      </c>
    </row>
    <row r="38" ht="34" customHeight="1" spans="1:10" x14ac:dyDescent="0.25">
      <c r="A38" s="33" t="s">
        <v>649</v>
      </c>
      <c r="B38" s="34" t="s">
        <v>47</v>
      </c>
      <c r="C38" s="35" t="s">
        <v>650</v>
      </c>
      <c r="D38" s="36" t="s">
        <v>651</v>
      </c>
      <c r="E38" s="34" t="s">
        <v>295</v>
      </c>
      <c r="F38" s="37" t="s">
        <v>560</v>
      </c>
      <c r="G38" s="38" t="s">
        <v>20</v>
      </c>
      <c r="H38" s="38" t="s">
        <v>1</v>
      </c>
      <c r="I38" s="39"/>
      <c r="J38" s="40" t="s">
        <v>1</v>
      </c>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sheetData>
  <autoFilter ref="A8:J38"/>
  <mergeCells count="6">
    <mergeCell ref="A1:I1"/>
    <mergeCell ref="B2:J2"/>
    <mergeCell ref="B3:J3"/>
    <mergeCell ref="B4:J4"/>
    <mergeCell ref="B5:J5"/>
    <mergeCell ref="A7:J7"/>
  </mergeCells>
  <conditionalFormatting sqref="J6">
    <cfRule type="cellIs" dxfId="58" priority="1" operator="equal">
      <formula>"Done"</formula>
    </cfRule>
    <cfRule type="cellIs" dxfId="59" priority="2" operator="equal">
      <formula>"Complete"</formula>
    </cfRule>
    <cfRule type="cellIs" dxfId="60" priority="3" operator="equal">
      <formula>"In progress"</formula>
    </cfRule>
    <cfRule type="cellIs" dxfId="61" priority="4" operator="equal">
      <formula>"Blocked"</formula>
    </cfRule>
    <cfRule type="cellIs" dxfId="62" priority="5" operator="equal">
      <formula>"N/A"</formula>
    </cfRule>
    <cfRule type="cellIs" dxfId="63" priority="6" operator="equal">
      <formula>"Decided"</formula>
    </cfRule>
    <cfRule type="cellIs" dxfId="64" priority="7" operator="equal">
      <formula>"Open"</formula>
    </cfRule>
  </conditionalFormatting>
  <conditionalFormatting sqref="A7">
    <cfRule type="containsText" dxfId="65" priority="8">
      <formula>NOT(ISERROR(SEARCH("LOCKED",A7)))</formula>
    </cfRule>
    <cfRule type="containsText" dxfId="66" priority="9">
      <formula>NOT(ISERROR(SEARCH("READY",A7)))</formula>
    </cfRule>
  </conditionalFormatting>
  <conditionalFormatting sqref="G9:G400">
    <cfRule type="cellIs" dxfId="67" priority="10" operator="equal">
      <formula>"Done"</formula>
    </cfRule>
    <cfRule type="cellIs" dxfId="68" priority="11" operator="equal">
      <formula>"Complete"</formula>
    </cfRule>
    <cfRule type="cellIs" dxfId="69" priority="12" operator="equal">
      <formula>"In progress"</formula>
    </cfRule>
    <cfRule type="cellIs" dxfId="70" priority="13" operator="equal">
      <formula>"Blocked"</formula>
    </cfRule>
    <cfRule type="cellIs" dxfId="71" priority="14" operator="equal">
      <formula>"N/A"</formula>
    </cfRule>
    <cfRule type="cellIs" dxfId="72" priority="15" operator="equal">
      <formula>"Decided"</formula>
    </cfRule>
    <cfRule type="cellIs" dxfId="73" priority="16" operator="equal">
      <formula>"Open"</formula>
    </cfRule>
  </conditionalFormatting>
  <dataValidations count="4">
    <dataValidation type="list" allowBlank="1" showErrorMessage="1" errorTitle="Status" error="Choose a value from the list." sqref="G10:G53">
      <formula1>"Not started,In progress,Blocked,Done,N/A"</formula1>
    </dataValidation>
    <dataValidation type="list" allowBlank="1" showErrorMessage="1" errorTitle="Status" error="Choose a value from the list." sqref="G9:G53">
      <formula1>"Not started,In progress,Blocked,Done,N/A"</formula1>
    </dataValidation>
    <dataValidation type="date" operator="greaterThan" allowBlank="1" showErrorMessage="1" errorTitle="Date done" error="Enter a date (yyyy-mm-dd)." sqref="I10:I53">
      <formula1>46023</formula1>
    </dataValidation>
    <dataValidation type="date" operator="greaterThan" allowBlank="1" showErrorMessage="1" errorTitle="Date done" error="Enter a date (yyyy-mm-dd)." sqref="I9:I53">
      <formula1>46023</formula1>
    </dataValidation>
  </dataValidations>
  <hyperlinks>
    <hyperlink ref="J1" r:id="rId1" location="#'Dashboard'!A1"/>
  </hyperlinks>
  <pageSetup paperSize="9"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49"/>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652</v>
      </c>
      <c r="B1" s="27"/>
      <c r="C1" s="27"/>
      <c r="D1" s="27"/>
      <c r="E1" s="27"/>
      <c r="F1" s="27"/>
      <c r="G1" s="27"/>
      <c r="H1" s="27"/>
      <c r="I1" s="27"/>
      <c r="J1" s="28" t="s">
        <v>202</v>
      </c>
    </row>
    <row r="2" ht="17" customHeight="1" spans="1:10" x14ac:dyDescent="0.25">
      <c r="A2" s="29" t="s">
        <v>203</v>
      </c>
      <c r="B2" s="6" t="s">
        <v>653</v>
      </c>
      <c r="C2" s="6"/>
      <c r="D2" s="6"/>
      <c r="E2" s="6"/>
      <c r="F2" s="6"/>
      <c r="G2" s="6"/>
      <c r="H2" s="6"/>
      <c r="I2" s="6"/>
      <c r="J2" s="6"/>
    </row>
    <row r="3" ht="17" customHeight="1" spans="1:10" x14ac:dyDescent="0.25">
      <c r="A3" s="29" t="s">
        <v>205</v>
      </c>
      <c r="B3" s="6" t="s">
        <v>654</v>
      </c>
      <c r="C3" s="6"/>
      <c r="D3" s="6"/>
      <c r="E3" s="6"/>
      <c r="F3" s="6"/>
      <c r="G3" s="6"/>
      <c r="H3" s="6"/>
      <c r="I3" s="6"/>
      <c r="J3" s="6"/>
    </row>
    <row r="4" ht="17" customHeight="1" spans="1:10" x14ac:dyDescent="0.25">
      <c r="A4" s="29" t="s">
        <v>207</v>
      </c>
      <c r="B4" s="6" t="s">
        <v>655</v>
      </c>
      <c r="C4" s="6"/>
      <c r="D4" s="6"/>
      <c r="E4" s="6"/>
      <c r="F4" s="6"/>
      <c r="G4" s="6"/>
      <c r="H4" s="6"/>
      <c r="I4" s="6"/>
      <c r="J4" s="6"/>
    </row>
    <row r="5" ht="17" customHeight="1" spans="1:10" x14ac:dyDescent="0.25">
      <c r="A5" s="29" t="s">
        <v>98</v>
      </c>
      <c r="B5" s="2" t="s">
        <v>124</v>
      </c>
      <c r="C5" s="2"/>
      <c r="D5" s="2"/>
      <c r="E5" s="2"/>
      <c r="F5" s="2"/>
      <c r="G5" s="2"/>
      <c r="H5" s="2"/>
      <c r="I5" s="2"/>
      <c r="J5" s="2"/>
    </row>
    <row r="6" spans="1:10" x14ac:dyDescent="0.25">
      <c r="A6" s="17" t="s">
        <v>92</v>
      </c>
      <c r="B6" s="30">
        <f>IF(D6=0,0,F6/D6)</f>
        <v>0</v>
      </c>
      <c r="C6" s="17" t="s">
        <v>91</v>
      </c>
      <c r="D6" s="31">
        <f>COUNTA(C9:C400)</f>
        <v>26</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IF('M04 Programme'!$B$6=1,"READY: M04 is complete. Work the steps in order, 0 Gate in to 8 Gate out.","LOCKED: finish M04 Programme first. Do not start work on this sheet.")</f>
        <v>LOCKED: finish M04 Programme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656</v>
      </c>
      <c r="B9" s="34" t="s">
        <v>31</v>
      </c>
      <c r="C9" s="35" t="s">
        <v>657</v>
      </c>
      <c r="D9" s="36" t="s">
        <v>658</v>
      </c>
      <c r="E9" s="34" t="s">
        <v>290</v>
      </c>
      <c r="F9" s="37" t="s">
        <v>304</v>
      </c>
      <c r="G9" s="38" t="s">
        <v>20</v>
      </c>
      <c r="H9" s="38" t="s">
        <v>1</v>
      </c>
      <c r="I9" s="39"/>
      <c r="J9" s="40" t="s">
        <v>1</v>
      </c>
    </row>
    <row r="10" ht="34" customHeight="1" spans="1:10" x14ac:dyDescent="0.25">
      <c r="A10" s="33" t="s">
        <v>659</v>
      </c>
      <c r="B10" s="34" t="s">
        <v>31</v>
      </c>
      <c r="C10" s="35" t="s">
        <v>441</v>
      </c>
      <c r="D10" s="36" t="s">
        <v>660</v>
      </c>
      <c r="E10" s="34" t="s">
        <v>443</v>
      </c>
      <c r="F10" s="37" t="s">
        <v>444</v>
      </c>
      <c r="G10" s="38" t="s">
        <v>20</v>
      </c>
      <c r="H10" s="38" t="s">
        <v>1</v>
      </c>
      <c r="I10" s="39"/>
      <c r="J10" s="40" t="s">
        <v>1</v>
      </c>
    </row>
    <row r="11" ht="34" customHeight="1" spans="1:10" x14ac:dyDescent="0.25">
      <c r="A11" s="33" t="s">
        <v>661</v>
      </c>
      <c r="B11" s="34" t="s">
        <v>31</v>
      </c>
      <c r="C11" s="35" t="s">
        <v>306</v>
      </c>
      <c r="D11" s="36" t="s">
        <v>662</v>
      </c>
      <c r="E11" s="34" t="s">
        <v>308</v>
      </c>
      <c r="F11" s="37" t="s">
        <v>309</v>
      </c>
      <c r="G11" s="38" t="s">
        <v>20</v>
      </c>
      <c r="H11" s="38" t="s">
        <v>1</v>
      </c>
      <c r="I11" s="39"/>
      <c r="J11" s="40" t="s">
        <v>1</v>
      </c>
    </row>
    <row r="12" ht="48" customHeight="1" spans="1:10" x14ac:dyDescent="0.25">
      <c r="A12" s="41" t="s">
        <v>663</v>
      </c>
      <c r="B12" s="20" t="s">
        <v>33</v>
      </c>
      <c r="C12" s="42" t="s">
        <v>448</v>
      </c>
      <c r="D12" s="24" t="s">
        <v>664</v>
      </c>
      <c r="E12" s="20" t="s">
        <v>295</v>
      </c>
      <c r="F12" s="43" t="s">
        <v>665</v>
      </c>
      <c r="G12" s="38" t="s">
        <v>20</v>
      </c>
      <c r="H12" s="38" t="s">
        <v>1</v>
      </c>
      <c r="I12" s="39"/>
      <c r="J12" s="40" t="s">
        <v>1</v>
      </c>
    </row>
    <row r="13" ht="48" customHeight="1" spans="1:10" x14ac:dyDescent="0.25">
      <c r="A13" s="41" t="s">
        <v>666</v>
      </c>
      <c r="B13" s="20" t="s">
        <v>33</v>
      </c>
      <c r="C13" s="42" t="s">
        <v>456</v>
      </c>
      <c r="D13" s="24" t="s">
        <v>457</v>
      </c>
      <c r="E13" s="20" t="s">
        <v>295</v>
      </c>
      <c r="F13" s="43" t="s">
        <v>458</v>
      </c>
      <c r="G13" s="38" t="s">
        <v>20</v>
      </c>
      <c r="H13" s="38" t="s">
        <v>1</v>
      </c>
      <c r="I13" s="39"/>
      <c r="J13" s="40" t="s">
        <v>1</v>
      </c>
    </row>
    <row r="14" ht="34" customHeight="1" spans="1:10" x14ac:dyDescent="0.25">
      <c r="A14" s="41" t="s">
        <v>667</v>
      </c>
      <c r="B14" s="20" t="s">
        <v>33</v>
      </c>
      <c r="C14" s="42" t="s">
        <v>460</v>
      </c>
      <c r="D14" s="24" t="s">
        <v>668</v>
      </c>
      <c r="E14" s="20" t="s">
        <v>295</v>
      </c>
      <c r="F14" s="43" t="s">
        <v>462</v>
      </c>
      <c r="G14" s="38" t="s">
        <v>20</v>
      </c>
      <c r="H14" s="38" t="s">
        <v>1</v>
      </c>
      <c r="I14" s="39"/>
      <c r="J14" s="40" t="s">
        <v>1</v>
      </c>
    </row>
    <row r="15" ht="34" customHeight="1" spans="1:10" x14ac:dyDescent="0.25">
      <c r="A15" s="41" t="s">
        <v>669</v>
      </c>
      <c r="B15" s="20" t="s">
        <v>35</v>
      </c>
      <c r="C15" s="42" t="s">
        <v>670</v>
      </c>
      <c r="D15" s="24" t="s">
        <v>671</v>
      </c>
      <c r="E15" s="20" t="s">
        <v>295</v>
      </c>
      <c r="F15" s="43" t="s">
        <v>672</v>
      </c>
      <c r="G15" s="38" t="s">
        <v>20</v>
      </c>
      <c r="H15" s="38" t="s">
        <v>1</v>
      </c>
      <c r="I15" s="39"/>
      <c r="J15" s="40" t="s">
        <v>1</v>
      </c>
    </row>
    <row r="16" ht="34" customHeight="1" spans="1:10" x14ac:dyDescent="0.25">
      <c r="A16" s="41" t="s">
        <v>673</v>
      </c>
      <c r="B16" s="20" t="s">
        <v>35</v>
      </c>
      <c r="C16" s="42" t="s">
        <v>674</v>
      </c>
      <c r="D16" s="24" t="s">
        <v>675</v>
      </c>
      <c r="E16" s="20" t="s">
        <v>295</v>
      </c>
      <c r="F16" s="43" t="s">
        <v>676</v>
      </c>
      <c r="G16" s="38" t="s">
        <v>20</v>
      </c>
      <c r="H16" s="38" t="s">
        <v>1</v>
      </c>
      <c r="I16" s="39"/>
      <c r="J16" s="40" t="s">
        <v>1</v>
      </c>
    </row>
    <row r="17" ht="34" customHeight="1" spans="1:10" x14ac:dyDescent="0.25">
      <c r="A17" s="41" t="s">
        <v>677</v>
      </c>
      <c r="B17" s="20" t="s">
        <v>35</v>
      </c>
      <c r="C17" s="42" t="s">
        <v>678</v>
      </c>
      <c r="D17" s="24" t="s">
        <v>679</v>
      </c>
      <c r="E17" s="20" t="s">
        <v>295</v>
      </c>
      <c r="F17" s="43" t="s">
        <v>680</v>
      </c>
      <c r="G17" s="38" t="s">
        <v>20</v>
      </c>
      <c r="H17" s="38" t="s">
        <v>1</v>
      </c>
      <c r="I17" s="39"/>
      <c r="J17" s="40" t="s">
        <v>1</v>
      </c>
    </row>
    <row r="18" ht="34" customHeight="1" spans="1:10" x14ac:dyDescent="0.25">
      <c r="A18" s="41" t="s">
        <v>681</v>
      </c>
      <c r="B18" s="20" t="s">
        <v>35</v>
      </c>
      <c r="C18" s="42" t="s">
        <v>682</v>
      </c>
      <c r="D18" s="24" t="s">
        <v>683</v>
      </c>
      <c r="E18" s="20" t="s">
        <v>295</v>
      </c>
      <c r="F18" s="43" t="s">
        <v>684</v>
      </c>
      <c r="G18" s="38" t="s">
        <v>20</v>
      </c>
      <c r="H18" s="38" t="s">
        <v>1</v>
      </c>
      <c r="I18" s="39"/>
      <c r="J18" s="40" t="s">
        <v>1</v>
      </c>
    </row>
    <row r="19" ht="20" customHeight="1" spans="1:10" x14ac:dyDescent="0.25">
      <c r="A19" s="41" t="s">
        <v>685</v>
      </c>
      <c r="B19" s="20" t="s">
        <v>35</v>
      </c>
      <c r="C19" s="42" t="s">
        <v>686</v>
      </c>
      <c r="D19" s="24" t="s">
        <v>687</v>
      </c>
      <c r="E19" s="20" t="s">
        <v>295</v>
      </c>
      <c r="F19" s="43" t="s">
        <v>688</v>
      </c>
      <c r="G19" s="38" t="s">
        <v>20</v>
      </c>
      <c r="H19" s="38" t="s">
        <v>1</v>
      </c>
      <c r="I19" s="39"/>
      <c r="J19" s="40" t="s">
        <v>1</v>
      </c>
    </row>
    <row r="20" ht="34" customHeight="1" spans="1:10" x14ac:dyDescent="0.25">
      <c r="A20" s="41" t="s">
        <v>689</v>
      </c>
      <c r="B20" s="20" t="s">
        <v>37</v>
      </c>
      <c r="C20" s="42" t="s">
        <v>690</v>
      </c>
      <c r="D20" s="24" t="s">
        <v>691</v>
      </c>
      <c r="E20" s="20" t="s">
        <v>295</v>
      </c>
      <c r="F20" s="43" t="s">
        <v>692</v>
      </c>
      <c r="G20" s="38" t="s">
        <v>20</v>
      </c>
      <c r="H20" s="38" t="s">
        <v>1</v>
      </c>
      <c r="I20" s="39"/>
      <c r="J20" s="40" t="s">
        <v>1</v>
      </c>
    </row>
    <row r="21" ht="34" customHeight="1" spans="1:10" x14ac:dyDescent="0.25">
      <c r="A21" s="41" t="s">
        <v>693</v>
      </c>
      <c r="B21" s="20" t="s">
        <v>37</v>
      </c>
      <c r="C21" s="42" t="s">
        <v>694</v>
      </c>
      <c r="D21" s="24" t="s">
        <v>695</v>
      </c>
      <c r="E21" s="20" t="s">
        <v>295</v>
      </c>
      <c r="F21" s="43" t="s">
        <v>618</v>
      </c>
      <c r="G21" s="38" t="s">
        <v>20</v>
      </c>
      <c r="H21" s="38" t="s">
        <v>1</v>
      </c>
      <c r="I21" s="39"/>
      <c r="J21" s="40" t="s">
        <v>1</v>
      </c>
    </row>
    <row r="22" ht="34" customHeight="1" spans="1:10" x14ac:dyDescent="0.25">
      <c r="A22" s="41" t="s">
        <v>696</v>
      </c>
      <c r="B22" s="20" t="s">
        <v>41</v>
      </c>
      <c r="C22" s="42" t="s">
        <v>697</v>
      </c>
      <c r="D22" s="24" t="s">
        <v>698</v>
      </c>
      <c r="E22" s="20" t="s">
        <v>264</v>
      </c>
      <c r="F22" s="43" t="s">
        <v>699</v>
      </c>
      <c r="G22" s="38" t="s">
        <v>20</v>
      </c>
      <c r="H22" s="38" t="s">
        <v>1</v>
      </c>
      <c r="I22" s="39"/>
      <c r="J22" s="40" t="s">
        <v>1</v>
      </c>
    </row>
    <row r="23" ht="34" customHeight="1" spans="1:10" x14ac:dyDescent="0.25">
      <c r="A23" s="41" t="s">
        <v>700</v>
      </c>
      <c r="B23" s="20" t="s">
        <v>43</v>
      </c>
      <c r="C23" s="42" t="s">
        <v>516</v>
      </c>
      <c r="D23" s="24" t="s">
        <v>517</v>
      </c>
      <c r="E23" s="20" t="s">
        <v>295</v>
      </c>
      <c r="F23" s="43" t="s">
        <v>518</v>
      </c>
      <c r="G23" s="38" t="s">
        <v>20</v>
      </c>
      <c r="H23" s="38" t="s">
        <v>1</v>
      </c>
      <c r="I23" s="39"/>
      <c r="J23" s="40" t="s">
        <v>1</v>
      </c>
    </row>
    <row r="24" ht="34" customHeight="1" spans="1:10" x14ac:dyDescent="0.25">
      <c r="A24" s="41" t="s">
        <v>701</v>
      </c>
      <c r="B24" s="20" t="s">
        <v>43</v>
      </c>
      <c r="C24" s="42" t="s">
        <v>520</v>
      </c>
      <c r="D24" s="24" t="s">
        <v>521</v>
      </c>
      <c r="E24" s="20" t="s">
        <v>392</v>
      </c>
      <c r="F24" s="43" t="s">
        <v>522</v>
      </c>
      <c r="G24" s="38" t="s">
        <v>20</v>
      </c>
      <c r="H24" s="38" t="s">
        <v>1</v>
      </c>
      <c r="I24" s="39"/>
      <c r="J24" s="40" t="s">
        <v>1</v>
      </c>
    </row>
    <row r="25" ht="34" customHeight="1" spans="1:10" x14ac:dyDescent="0.25">
      <c r="A25" s="41" t="s">
        <v>702</v>
      </c>
      <c r="B25" s="20" t="s">
        <v>43</v>
      </c>
      <c r="C25" s="42" t="s">
        <v>524</v>
      </c>
      <c r="D25" s="24" t="s">
        <v>525</v>
      </c>
      <c r="E25" s="20" t="s">
        <v>392</v>
      </c>
      <c r="F25" s="43" t="s">
        <v>526</v>
      </c>
      <c r="G25" s="38" t="s">
        <v>20</v>
      </c>
      <c r="H25" s="38" t="s">
        <v>1</v>
      </c>
      <c r="I25" s="39"/>
      <c r="J25" s="40" t="s">
        <v>1</v>
      </c>
    </row>
    <row r="26" ht="34" customHeight="1" spans="1:10" x14ac:dyDescent="0.25">
      <c r="A26" s="41" t="s">
        <v>703</v>
      </c>
      <c r="B26" s="20" t="s">
        <v>43</v>
      </c>
      <c r="C26" s="42" t="s">
        <v>704</v>
      </c>
      <c r="D26" s="24" t="s">
        <v>705</v>
      </c>
      <c r="E26" s="20" t="s">
        <v>392</v>
      </c>
      <c r="F26" s="43" t="s">
        <v>706</v>
      </c>
      <c r="G26" s="38" t="s">
        <v>20</v>
      </c>
      <c r="H26" s="38" t="s">
        <v>1</v>
      </c>
      <c r="I26" s="39"/>
      <c r="J26" s="40" t="s">
        <v>1</v>
      </c>
    </row>
    <row r="27" ht="20" customHeight="1" spans="1:10" x14ac:dyDescent="0.25">
      <c r="A27" s="41" t="s">
        <v>707</v>
      </c>
      <c r="B27" s="20" t="s">
        <v>43</v>
      </c>
      <c r="C27" s="42" t="s">
        <v>708</v>
      </c>
      <c r="D27" s="24" t="s">
        <v>709</v>
      </c>
      <c r="E27" s="20" t="s">
        <v>295</v>
      </c>
      <c r="F27" s="43" t="s">
        <v>710</v>
      </c>
      <c r="G27" s="38" t="s">
        <v>20</v>
      </c>
      <c r="H27" s="38" t="s">
        <v>1</v>
      </c>
      <c r="I27" s="39"/>
      <c r="J27" s="40" t="s">
        <v>1</v>
      </c>
    </row>
    <row r="28" ht="48" customHeight="1" spans="1:10" x14ac:dyDescent="0.25">
      <c r="A28" s="41" t="s">
        <v>711</v>
      </c>
      <c r="B28" s="20" t="s">
        <v>45</v>
      </c>
      <c r="C28" s="42" t="s">
        <v>536</v>
      </c>
      <c r="D28" s="24" t="s">
        <v>537</v>
      </c>
      <c r="E28" s="20" t="s">
        <v>295</v>
      </c>
      <c r="F28" s="43" t="s">
        <v>538</v>
      </c>
      <c r="G28" s="38" t="s">
        <v>20</v>
      </c>
      <c r="H28" s="38" t="s">
        <v>1</v>
      </c>
      <c r="I28" s="39"/>
      <c r="J28" s="40" t="s">
        <v>1</v>
      </c>
    </row>
    <row r="29" ht="48" customHeight="1" spans="1:10" x14ac:dyDescent="0.25">
      <c r="A29" s="41" t="s">
        <v>712</v>
      </c>
      <c r="B29" s="20" t="s">
        <v>45</v>
      </c>
      <c r="C29" s="42" t="s">
        <v>540</v>
      </c>
      <c r="D29" s="24" t="s">
        <v>713</v>
      </c>
      <c r="E29" s="20" t="s">
        <v>295</v>
      </c>
      <c r="F29" s="43" t="s">
        <v>542</v>
      </c>
      <c r="G29" s="38" t="s">
        <v>20</v>
      </c>
      <c r="H29" s="38" t="s">
        <v>1</v>
      </c>
      <c r="I29" s="39"/>
      <c r="J29" s="40" t="s">
        <v>1</v>
      </c>
    </row>
    <row r="30" ht="34" customHeight="1" spans="1:10" x14ac:dyDescent="0.25">
      <c r="A30" s="41" t="s">
        <v>714</v>
      </c>
      <c r="B30" s="20" t="s">
        <v>45</v>
      </c>
      <c r="C30" s="42" t="s">
        <v>544</v>
      </c>
      <c r="D30" s="24" t="s">
        <v>545</v>
      </c>
      <c r="E30" s="20" t="s">
        <v>295</v>
      </c>
      <c r="F30" s="43" t="s">
        <v>546</v>
      </c>
      <c r="G30" s="38" t="s">
        <v>20</v>
      </c>
      <c r="H30" s="38" t="s">
        <v>1</v>
      </c>
      <c r="I30" s="39"/>
      <c r="J30" s="40" t="s">
        <v>1</v>
      </c>
    </row>
    <row r="31" ht="34" customHeight="1" spans="1:10" x14ac:dyDescent="0.25">
      <c r="A31" s="41" t="s">
        <v>715</v>
      </c>
      <c r="B31" s="20" t="s">
        <v>45</v>
      </c>
      <c r="C31" s="42" t="s">
        <v>548</v>
      </c>
      <c r="D31" s="24" t="s">
        <v>716</v>
      </c>
      <c r="E31" s="20" t="s">
        <v>550</v>
      </c>
      <c r="F31" s="43" t="s">
        <v>551</v>
      </c>
      <c r="G31" s="38" t="s">
        <v>20</v>
      </c>
      <c r="H31" s="38" t="s">
        <v>1</v>
      </c>
      <c r="I31" s="39"/>
      <c r="J31" s="40" t="s">
        <v>1</v>
      </c>
    </row>
    <row r="32" ht="48" customHeight="1" spans="1:10" x14ac:dyDescent="0.25">
      <c r="A32" s="33" t="s">
        <v>717</v>
      </c>
      <c r="B32" s="34" t="s">
        <v>47</v>
      </c>
      <c r="C32" s="35" t="s">
        <v>289</v>
      </c>
      <c r="D32" s="36" t="s">
        <v>718</v>
      </c>
      <c r="E32" s="34" t="s">
        <v>290</v>
      </c>
      <c r="F32" s="37" t="s">
        <v>291</v>
      </c>
      <c r="G32" s="38" t="s">
        <v>20</v>
      </c>
      <c r="H32" s="38" t="s">
        <v>1</v>
      </c>
      <c r="I32" s="39"/>
      <c r="J32" s="40" t="s">
        <v>1</v>
      </c>
    </row>
    <row r="33" ht="20" customHeight="1" spans="1:10" x14ac:dyDescent="0.25">
      <c r="A33" s="33" t="s">
        <v>719</v>
      </c>
      <c r="B33" s="34" t="s">
        <v>47</v>
      </c>
      <c r="C33" s="35" t="s">
        <v>425</v>
      </c>
      <c r="D33" s="36" t="s">
        <v>720</v>
      </c>
      <c r="E33" s="34" t="s">
        <v>290</v>
      </c>
      <c r="F33" s="37" t="s">
        <v>556</v>
      </c>
      <c r="G33" s="38" t="s">
        <v>20</v>
      </c>
      <c r="H33" s="38" t="s">
        <v>1</v>
      </c>
      <c r="I33" s="39"/>
      <c r="J33" s="40" t="s">
        <v>1</v>
      </c>
    </row>
    <row r="34" ht="34" customHeight="1" spans="1:10" x14ac:dyDescent="0.25">
      <c r="A34" s="33" t="s">
        <v>721</v>
      </c>
      <c r="B34" s="34" t="s">
        <v>47</v>
      </c>
      <c r="C34" s="35" t="s">
        <v>722</v>
      </c>
      <c r="D34" s="36" t="s">
        <v>723</v>
      </c>
      <c r="E34" s="34" t="s">
        <v>295</v>
      </c>
      <c r="F34" s="37" t="s">
        <v>560</v>
      </c>
      <c r="G34" s="38" t="s">
        <v>20</v>
      </c>
      <c r="H34" s="38" t="s">
        <v>1</v>
      </c>
      <c r="I34" s="39"/>
      <c r="J34" s="40" t="s">
        <v>1</v>
      </c>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sheetData>
  <autoFilter ref="A8:J34"/>
  <mergeCells count="6">
    <mergeCell ref="A1:I1"/>
    <mergeCell ref="B2:J2"/>
    <mergeCell ref="B3:J3"/>
    <mergeCell ref="B4:J4"/>
    <mergeCell ref="B5:J5"/>
    <mergeCell ref="A7:J7"/>
  </mergeCells>
  <conditionalFormatting sqref="J6">
    <cfRule type="cellIs" dxfId="74" priority="1" operator="equal">
      <formula>"Done"</formula>
    </cfRule>
    <cfRule type="cellIs" dxfId="75" priority="2" operator="equal">
      <formula>"Complete"</formula>
    </cfRule>
    <cfRule type="cellIs" dxfId="76" priority="3" operator="equal">
      <formula>"In progress"</formula>
    </cfRule>
    <cfRule type="cellIs" dxfId="77" priority="4" operator="equal">
      <formula>"Blocked"</formula>
    </cfRule>
    <cfRule type="cellIs" dxfId="78" priority="5" operator="equal">
      <formula>"N/A"</formula>
    </cfRule>
    <cfRule type="cellIs" dxfId="79" priority="6" operator="equal">
      <formula>"Decided"</formula>
    </cfRule>
    <cfRule type="cellIs" dxfId="80" priority="7" operator="equal">
      <formula>"Open"</formula>
    </cfRule>
  </conditionalFormatting>
  <conditionalFormatting sqref="A7">
    <cfRule type="containsText" dxfId="81" priority="8">
      <formula>NOT(ISERROR(SEARCH("LOCKED",A7)))</formula>
    </cfRule>
    <cfRule type="containsText" dxfId="82" priority="9">
      <formula>NOT(ISERROR(SEARCH("READY",A7)))</formula>
    </cfRule>
  </conditionalFormatting>
  <conditionalFormatting sqref="G9:G400">
    <cfRule type="cellIs" dxfId="83" priority="10" operator="equal">
      <formula>"Done"</formula>
    </cfRule>
    <cfRule type="cellIs" dxfId="84" priority="11" operator="equal">
      <formula>"Complete"</formula>
    </cfRule>
    <cfRule type="cellIs" dxfId="85" priority="12" operator="equal">
      <formula>"In progress"</formula>
    </cfRule>
    <cfRule type="cellIs" dxfId="86" priority="13" operator="equal">
      <formula>"Blocked"</formula>
    </cfRule>
    <cfRule type="cellIs" dxfId="87" priority="14" operator="equal">
      <formula>"N/A"</formula>
    </cfRule>
    <cfRule type="cellIs" dxfId="88" priority="15" operator="equal">
      <formula>"Decided"</formula>
    </cfRule>
    <cfRule type="cellIs" dxfId="89" priority="16" operator="equal">
      <formula>"Open"</formula>
    </cfRule>
  </conditionalFormatting>
  <dataValidations count="4">
    <dataValidation type="list" allowBlank="1" showErrorMessage="1" errorTitle="Status" error="Choose a value from the list." sqref="G10:G49">
      <formula1>"Not started,In progress,Blocked,Done,N/A"</formula1>
    </dataValidation>
    <dataValidation type="list" allowBlank="1" showErrorMessage="1" errorTitle="Status" error="Choose a value from the list." sqref="G9:G49">
      <formula1>"Not started,In progress,Blocked,Done,N/A"</formula1>
    </dataValidation>
    <dataValidation type="date" operator="greaterThan" allowBlank="1" showErrorMessage="1" errorTitle="Date done" error="Enter a date (yyyy-mm-dd)." sqref="I10:I49">
      <formula1>46023</formula1>
    </dataValidation>
    <dataValidation type="date" operator="greaterThan" allowBlank="1" showErrorMessage="1" errorTitle="Date done" error="Enter a date (yyyy-mm-dd)." sqref="I9:I49">
      <formula1>46023</formula1>
    </dataValidation>
  </dataValidations>
  <hyperlinks>
    <hyperlink ref="J1" r:id="rId1" location="#'Dashboard'!A1"/>
  </hyperlinks>
  <pageSetup paperSize="9"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0"/>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724</v>
      </c>
      <c r="B1" s="27"/>
      <c r="C1" s="27"/>
      <c r="D1" s="27"/>
      <c r="E1" s="27"/>
      <c r="F1" s="27"/>
      <c r="G1" s="27"/>
      <c r="H1" s="27"/>
      <c r="I1" s="27"/>
      <c r="J1" s="28" t="s">
        <v>202</v>
      </c>
    </row>
    <row r="2" ht="17" customHeight="1" spans="1:10" x14ac:dyDescent="0.25">
      <c r="A2" s="29" t="s">
        <v>203</v>
      </c>
      <c r="B2" s="6" t="s">
        <v>725</v>
      </c>
      <c r="C2" s="6"/>
      <c r="D2" s="6"/>
      <c r="E2" s="6"/>
      <c r="F2" s="6"/>
      <c r="G2" s="6"/>
      <c r="H2" s="6"/>
      <c r="I2" s="6"/>
      <c r="J2" s="6"/>
    </row>
    <row r="3" ht="17" customHeight="1" spans="1:10" x14ac:dyDescent="0.25">
      <c r="A3" s="29" t="s">
        <v>205</v>
      </c>
      <c r="B3" s="6" t="s">
        <v>726</v>
      </c>
      <c r="C3" s="6"/>
      <c r="D3" s="6"/>
      <c r="E3" s="6"/>
      <c r="F3" s="6"/>
      <c r="G3" s="6"/>
      <c r="H3" s="6"/>
      <c r="I3" s="6"/>
      <c r="J3" s="6"/>
    </row>
    <row r="4" ht="17" customHeight="1" spans="1:10" x14ac:dyDescent="0.25">
      <c r="A4" s="29" t="s">
        <v>207</v>
      </c>
      <c r="B4" s="6" t="s">
        <v>727</v>
      </c>
      <c r="C4" s="6"/>
      <c r="D4" s="6"/>
      <c r="E4" s="6"/>
      <c r="F4" s="6"/>
      <c r="G4" s="6"/>
      <c r="H4" s="6"/>
      <c r="I4" s="6"/>
      <c r="J4" s="6"/>
    </row>
    <row r="5" ht="17" customHeight="1" spans="1:10" x14ac:dyDescent="0.25">
      <c r="A5" s="29" t="s">
        <v>98</v>
      </c>
      <c r="B5" s="2" t="s">
        <v>129</v>
      </c>
      <c r="C5" s="2"/>
      <c r="D5" s="2"/>
      <c r="E5" s="2"/>
      <c r="F5" s="2"/>
      <c r="G5" s="2"/>
      <c r="H5" s="2"/>
      <c r="I5" s="2"/>
      <c r="J5" s="2"/>
    </row>
    <row r="6" spans="1:10" x14ac:dyDescent="0.25">
      <c r="A6" s="17" t="s">
        <v>92</v>
      </c>
      <c r="B6" s="30">
        <f>IF(D6=0,0,F6/D6)</f>
        <v>0</v>
      </c>
      <c r="C6" s="17" t="s">
        <v>91</v>
      </c>
      <c r="D6" s="31">
        <f>COUNTA(C9:C400)</f>
        <v>27</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IF('M05 Reference'!$B$6=1,"READY: M05 is complete. Work the steps in order, 0 Gate in to 8 Gate out.","LOCKED: finish M05 Reference first. Do not start work on this sheet.")</f>
        <v>LOCKED: finish M05 Reference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728</v>
      </c>
      <c r="B9" s="34" t="s">
        <v>31</v>
      </c>
      <c r="C9" s="35" t="s">
        <v>729</v>
      </c>
      <c r="D9" s="36" t="s">
        <v>730</v>
      </c>
      <c r="E9" s="34" t="s">
        <v>290</v>
      </c>
      <c r="F9" s="37" t="s">
        <v>304</v>
      </c>
      <c r="G9" s="38" t="s">
        <v>20</v>
      </c>
      <c r="H9" s="38" t="s">
        <v>1</v>
      </c>
      <c r="I9" s="39"/>
      <c r="J9" s="40" t="s">
        <v>1</v>
      </c>
    </row>
    <row r="10" ht="34" customHeight="1" spans="1:10" x14ac:dyDescent="0.25">
      <c r="A10" s="33" t="s">
        <v>731</v>
      </c>
      <c r="B10" s="34" t="s">
        <v>31</v>
      </c>
      <c r="C10" s="35" t="s">
        <v>441</v>
      </c>
      <c r="D10" s="36" t="s">
        <v>732</v>
      </c>
      <c r="E10" s="34" t="s">
        <v>443</v>
      </c>
      <c r="F10" s="37" t="s">
        <v>444</v>
      </c>
      <c r="G10" s="38" t="s">
        <v>20</v>
      </c>
      <c r="H10" s="38" t="s">
        <v>1</v>
      </c>
      <c r="I10" s="39"/>
      <c r="J10" s="40" t="s">
        <v>1</v>
      </c>
    </row>
    <row r="11" ht="48" customHeight="1" spans="1:10" x14ac:dyDescent="0.25">
      <c r="A11" s="41" t="s">
        <v>733</v>
      </c>
      <c r="B11" s="20" t="s">
        <v>33</v>
      </c>
      <c r="C11" s="42" t="s">
        <v>448</v>
      </c>
      <c r="D11" s="24" t="s">
        <v>734</v>
      </c>
      <c r="E11" s="20" t="s">
        <v>295</v>
      </c>
      <c r="F11" s="43" t="s">
        <v>735</v>
      </c>
      <c r="G11" s="38" t="s">
        <v>20</v>
      </c>
      <c r="H11" s="38" t="s">
        <v>1</v>
      </c>
      <c r="I11" s="39"/>
      <c r="J11" s="40" t="s">
        <v>1</v>
      </c>
    </row>
    <row r="12" ht="48" customHeight="1" spans="1:10" x14ac:dyDescent="0.25">
      <c r="A12" s="41" t="s">
        <v>736</v>
      </c>
      <c r="B12" s="20" t="s">
        <v>33</v>
      </c>
      <c r="C12" s="42" t="s">
        <v>456</v>
      </c>
      <c r="D12" s="24" t="s">
        <v>457</v>
      </c>
      <c r="E12" s="20" t="s">
        <v>295</v>
      </c>
      <c r="F12" s="43" t="s">
        <v>458</v>
      </c>
      <c r="G12" s="38" t="s">
        <v>20</v>
      </c>
      <c r="H12" s="38" t="s">
        <v>1</v>
      </c>
      <c r="I12" s="39"/>
      <c r="J12" s="40" t="s">
        <v>1</v>
      </c>
    </row>
    <row r="13" ht="34" customHeight="1" spans="1:10" x14ac:dyDescent="0.25">
      <c r="A13" s="41" t="s">
        <v>737</v>
      </c>
      <c r="B13" s="20" t="s">
        <v>33</v>
      </c>
      <c r="C13" s="42" t="s">
        <v>460</v>
      </c>
      <c r="D13" s="24" t="s">
        <v>738</v>
      </c>
      <c r="E13" s="20" t="s">
        <v>295</v>
      </c>
      <c r="F13" s="43" t="s">
        <v>462</v>
      </c>
      <c r="G13" s="38" t="s">
        <v>20</v>
      </c>
      <c r="H13" s="38" t="s">
        <v>1</v>
      </c>
      <c r="I13" s="39"/>
      <c r="J13" s="40" t="s">
        <v>1</v>
      </c>
    </row>
    <row r="14" ht="20" customHeight="1" spans="1:10" x14ac:dyDescent="0.25">
      <c r="A14" s="41" t="s">
        <v>739</v>
      </c>
      <c r="B14" s="20" t="s">
        <v>35</v>
      </c>
      <c r="C14" s="42" t="s">
        <v>740</v>
      </c>
      <c r="D14" s="24" t="s">
        <v>741</v>
      </c>
      <c r="E14" s="20" t="s">
        <v>295</v>
      </c>
      <c r="F14" s="43" t="s">
        <v>742</v>
      </c>
      <c r="G14" s="38" t="s">
        <v>20</v>
      </c>
      <c r="H14" s="38" t="s">
        <v>1</v>
      </c>
      <c r="I14" s="39"/>
      <c r="J14" s="40" t="s">
        <v>1</v>
      </c>
    </row>
    <row r="15" ht="48" customHeight="1" spans="1:10" x14ac:dyDescent="0.25">
      <c r="A15" s="41" t="s">
        <v>743</v>
      </c>
      <c r="B15" s="20" t="s">
        <v>35</v>
      </c>
      <c r="C15" s="42" t="s">
        <v>744</v>
      </c>
      <c r="D15" s="24" t="s">
        <v>745</v>
      </c>
      <c r="E15" s="20" t="s">
        <v>295</v>
      </c>
      <c r="F15" s="43" t="s">
        <v>746</v>
      </c>
      <c r="G15" s="38" t="s">
        <v>20</v>
      </c>
      <c r="H15" s="38" t="s">
        <v>1</v>
      </c>
      <c r="I15" s="39"/>
      <c r="J15" s="40" t="s">
        <v>1</v>
      </c>
    </row>
    <row r="16" ht="34" customHeight="1" spans="1:10" x14ac:dyDescent="0.25">
      <c r="A16" s="41" t="s">
        <v>747</v>
      </c>
      <c r="B16" s="20" t="s">
        <v>35</v>
      </c>
      <c r="C16" s="42" t="s">
        <v>748</v>
      </c>
      <c r="D16" s="24" t="s">
        <v>749</v>
      </c>
      <c r="E16" s="20" t="s">
        <v>295</v>
      </c>
      <c r="F16" s="43" t="s">
        <v>750</v>
      </c>
      <c r="G16" s="38" t="s">
        <v>20</v>
      </c>
      <c r="H16" s="38" t="s">
        <v>1</v>
      </c>
      <c r="I16" s="39"/>
      <c r="J16" s="40" t="s">
        <v>1</v>
      </c>
    </row>
    <row r="17" ht="34" customHeight="1" spans="1:10" x14ac:dyDescent="0.25">
      <c r="A17" s="41" t="s">
        <v>751</v>
      </c>
      <c r="B17" s="20" t="s">
        <v>35</v>
      </c>
      <c r="C17" s="42" t="s">
        <v>752</v>
      </c>
      <c r="D17" s="24" t="s">
        <v>753</v>
      </c>
      <c r="E17" s="20" t="s">
        <v>295</v>
      </c>
      <c r="F17" s="43" t="s">
        <v>754</v>
      </c>
      <c r="G17" s="38" t="s">
        <v>20</v>
      </c>
      <c r="H17" s="38" t="s">
        <v>1</v>
      </c>
      <c r="I17" s="39"/>
      <c r="J17" s="40" t="s">
        <v>1</v>
      </c>
    </row>
    <row r="18" ht="34" customHeight="1" spans="1:10" x14ac:dyDescent="0.25">
      <c r="A18" s="41" t="s">
        <v>755</v>
      </c>
      <c r="B18" s="20" t="s">
        <v>35</v>
      </c>
      <c r="C18" s="42" t="s">
        <v>756</v>
      </c>
      <c r="D18" s="24" t="s">
        <v>757</v>
      </c>
      <c r="E18" s="20" t="s">
        <v>295</v>
      </c>
      <c r="F18" s="43" t="s">
        <v>758</v>
      </c>
      <c r="G18" s="38" t="s">
        <v>20</v>
      </c>
      <c r="H18" s="38" t="s">
        <v>1</v>
      </c>
      <c r="I18" s="39"/>
      <c r="J18" s="40" t="s">
        <v>1</v>
      </c>
    </row>
    <row r="19" ht="34" customHeight="1" spans="1:10" x14ac:dyDescent="0.25">
      <c r="A19" s="41" t="s">
        <v>759</v>
      </c>
      <c r="B19" s="20" t="s">
        <v>35</v>
      </c>
      <c r="C19" s="42" t="s">
        <v>760</v>
      </c>
      <c r="D19" s="24" t="s">
        <v>761</v>
      </c>
      <c r="E19" s="20" t="s">
        <v>359</v>
      </c>
      <c r="F19" s="43" t="s">
        <v>762</v>
      </c>
      <c r="G19" s="38" t="s">
        <v>20</v>
      </c>
      <c r="H19" s="38" t="s">
        <v>1</v>
      </c>
      <c r="I19" s="39"/>
      <c r="J19" s="40" t="s">
        <v>1</v>
      </c>
    </row>
    <row r="20" ht="34" customHeight="1" spans="1:10" x14ac:dyDescent="0.25">
      <c r="A20" s="41" t="s">
        <v>763</v>
      </c>
      <c r="B20" s="20" t="s">
        <v>37</v>
      </c>
      <c r="C20" s="42" t="s">
        <v>764</v>
      </c>
      <c r="D20" s="24" t="s">
        <v>765</v>
      </c>
      <c r="E20" s="20" t="s">
        <v>295</v>
      </c>
      <c r="F20" s="43" t="s">
        <v>610</v>
      </c>
      <c r="G20" s="38" t="s">
        <v>20</v>
      </c>
      <c r="H20" s="38" t="s">
        <v>1</v>
      </c>
      <c r="I20" s="39"/>
      <c r="J20" s="40" t="s">
        <v>1</v>
      </c>
    </row>
    <row r="21" ht="20" customHeight="1" spans="1:10" x14ac:dyDescent="0.25">
      <c r="A21" s="41" t="s">
        <v>766</v>
      </c>
      <c r="B21" s="20" t="s">
        <v>37</v>
      </c>
      <c r="C21" s="42" t="s">
        <v>767</v>
      </c>
      <c r="D21" s="24" t="s">
        <v>768</v>
      </c>
      <c r="E21" s="20" t="s">
        <v>295</v>
      </c>
      <c r="F21" s="43" t="s">
        <v>618</v>
      </c>
      <c r="G21" s="38" t="s">
        <v>20</v>
      </c>
      <c r="H21" s="38" t="s">
        <v>1</v>
      </c>
      <c r="I21" s="39"/>
      <c r="J21" s="40" t="s">
        <v>1</v>
      </c>
    </row>
    <row r="22" ht="34" customHeight="1" spans="1:10" x14ac:dyDescent="0.25">
      <c r="A22" s="41" t="s">
        <v>769</v>
      </c>
      <c r="B22" s="20" t="s">
        <v>39</v>
      </c>
      <c r="C22" s="42" t="s">
        <v>770</v>
      </c>
      <c r="D22" s="24" t="s">
        <v>771</v>
      </c>
      <c r="E22" s="20" t="s">
        <v>295</v>
      </c>
      <c r="F22" s="43" t="s">
        <v>622</v>
      </c>
      <c r="G22" s="38" t="s">
        <v>20</v>
      </c>
      <c r="H22" s="38" t="s">
        <v>1</v>
      </c>
      <c r="I22" s="39"/>
      <c r="J22" s="40" t="s">
        <v>1</v>
      </c>
    </row>
    <row r="23" ht="34" customHeight="1" spans="1:10" x14ac:dyDescent="0.25">
      <c r="A23" s="41" t="s">
        <v>772</v>
      </c>
      <c r="B23" s="20" t="s">
        <v>41</v>
      </c>
      <c r="C23" s="42" t="s">
        <v>773</v>
      </c>
      <c r="D23" s="24" t="s">
        <v>774</v>
      </c>
      <c r="E23" s="20" t="s">
        <v>264</v>
      </c>
      <c r="F23" s="43" t="s">
        <v>775</v>
      </c>
      <c r="G23" s="38" t="s">
        <v>20</v>
      </c>
      <c r="H23" s="38" t="s">
        <v>1</v>
      </c>
      <c r="I23" s="39"/>
      <c r="J23" s="40" t="s">
        <v>1</v>
      </c>
    </row>
    <row r="24" ht="34" customHeight="1" spans="1:10" x14ac:dyDescent="0.25">
      <c r="A24" s="41" t="s">
        <v>776</v>
      </c>
      <c r="B24" s="20" t="s">
        <v>43</v>
      </c>
      <c r="C24" s="42" t="s">
        <v>516</v>
      </c>
      <c r="D24" s="24" t="s">
        <v>517</v>
      </c>
      <c r="E24" s="20" t="s">
        <v>295</v>
      </c>
      <c r="F24" s="43" t="s">
        <v>518</v>
      </c>
      <c r="G24" s="38" t="s">
        <v>20</v>
      </c>
      <c r="H24" s="38" t="s">
        <v>1</v>
      </c>
      <c r="I24" s="39"/>
      <c r="J24" s="40" t="s">
        <v>1</v>
      </c>
    </row>
    <row r="25" ht="34" customHeight="1" spans="1:10" x14ac:dyDescent="0.25">
      <c r="A25" s="41" t="s">
        <v>777</v>
      </c>
      <c r="B25" s="20" t="s">
        <v>43</v>
      </c>
      <c r="C25" s="42" t="s">
        <v>520</v>
      </c>
      <c r="D25" s="24" t="s">
        <v>521</v>
      </c>
      <c r="E25" s="20" t="s">
        <v>392</v>
      </c>
      <c r="F25" s="43" t="s">
        <v>522</v>
      </c>
      <c r="G25" s="38" t="s">
        <v>20</v>
      </c>
      <c r="H25" s="38" t="s">
        <v>1</v>
      </c>
      <c r="I25" s="39"/>
      <c r="J25" s="40" t="s">
        <v>1</v>
      </c>
    </row>
    <row r="26" ht="34" customHeight="1" spans="1:10" x14ac:dyDescent="0.25">
      <c r="A26" s="41" t="s">
        <v>778</v>
      </c>
      <c r="B26" s="20" t="s">
        <v>43</v>
      </c>
      <c r="C26" s="42" t="s">
        <v>524</v>
      </c>
      <c r="D26" s="24" t="s">
        <v>525</v>
      </c>
      <c r="E26" s="20" t="s">
        <v>392</v>
      </c>
      <c r="F26" s="43" t="s">
        <v>526</v>
      </c>
      <c r="G26" s="38" t="s">
        <v>20</v>
      </c>
      <c r="H26" s="38" t="s">
        <v>1</v>
      </c>
      <c r="I26" s="39"/>
      <c r="J26" s="40" t="s">
        <v>1</v>
      </c>
    </row>
    <row r="27" ht="34" customHeight="1" spans="1:10" x14ac:dyDescent="0.25">
      <c r="A27" s="41" t="s">
        <v>779</v>
      </c>
      <c r="B27" s="20" t="s">
        <v>43</v>
      </c>
      <c r="C27" s="42" t="s">
        <v>780</v>
      </c>
      <c r="D27" s="24" t="s">
        <v>781</v>
      </c>
      <c r="E27" s="20" t="s">
        <v>392</v>
      </c>
      <c r="F27" s="43" t="s">
        <v>782</v>
      </c>
      <c r="G27" s="38" t="s">
        <v>20</v>
      </c>
      <c r="H27" s="38" t="s">
        <v>1</v>
      </c>
      <c r="I27" s="39"/>
      <c r="J27" s="40" t="s">
        <v>1</v>
      </c>
    </row>
    <row r="28" ht="20" customHeight="1" spans="1:10" x14ac:dyDescent="0.25">
      <c r="A28" s="41" t="s">
        <v>783</v>
      </c>
      <c r="B28" s="20" t="s">
        <v>43</v>
      </c>
      <c r="C28" s="42" t="s">
        <v>784</v>
      </c>
      <c r="D28" s="24" t="s">
        <v>785</v>
      </c>
      <c r="E28" s="20" t="s">
        <v>359</v>
      </c>
      <c r="F28" s="43" t="s">
        <v>786</v>
      </c>
      <c r="G28" s="38" t="s">
        <v>20</v>
      </c>
      <c r="H28" s="38" t="s">
        <v>1</v>
      </c>
      <c r="I28" s="39"/>
      <c r="J28" s="40" t="s">
        <v>1</v>
      </c>
    </row>
    <row r="29" ht="48" customHeight="1" spans="1:10" x14ac:dyDescent="0.25">
      <c r="A29" s="41" t="s">
        <v>787</v>
      </c>
      <c r="B29" s="20" t="s">
        <v>45</v>
      </c>
      <c r="C29" s="42" t="s">
        <v>536</v>
      </c>
      <c r="D29" s="24" t="s">
        <v>537</v>
      </c>
      <c r="E29" s="20" t="s">
        <v>295</v>
      </c>
      <c r="F29" s="43" t="s">
        <v>538</v>
      </c>
      <c r="G29" s="38" t="s">
        <v>20</v>
      </c>
      <c r="H29" s="38" t="s">
        <v>1</v>
      </c>
      <c r="I29" s="39"/>
      <c r="J29" s="40" t="s">
        <v>1</v>
      </c>
    </row>
    <row r="30" ht="34" customHeight="1" spans="1:10" x14ac:dyDescent="0.25">
      <c r="A30" s="41" t="s">
        <v>788</v>
      </c>
      <c r="B30" s="20" t="s">
        <v>45</v>
      </c>
      <c r="C30" s="42" t="s">
        <v>540</v>
      </c>
      <c r="D30" s="24" t="s">
        <v>789</v>
      </c>
      <c r="E30" s="20" t="s">
        <v>295</v>
      </c>
      <c r="F30" s="43" t="s">
        <v>542</v>
      </c>
      <c r="G30" s="38" t="s">
        <v>20</v>
      </c>
      <c r="H30" s="38" t="s">
        <v>1</v>
      </c>
      <c r="I30" s="39"/>
      <c r="J30" s="40" t="s">
        <v>1</v>
      </c>
    </row>
    <row r="31" ht="34" customHeight="1" spans="1:10" x14ac:dyDescent="0.25">
      <c r="A31" s="41" t="s">
        <v>790</v>
      </c>
      <c r="B31" s="20" t="s">
        <v>45</v>
      </c>
      <c r="C31" s="42" t="s">
        <v>544</v>
      </c>
      <c r="D31" s="24" t="s">
        <v>545</v>
      </c>
      <c r="E31" s="20" t="s">
        <v>295</v>
      </c>
      <c r="F31" s="43" t="s">
        <v>546</v>
      </c>
      <c r="G31" s="38" t="s">
        <v>20</v>
      </c>
      <c r="H31" s="38" t="s">
        <v>1</v>
      </c>
      <c r="I31" s="39"/>
      <c r="J31" s="40" t="s">
        <v>1</v>
      </c>
    </row>
    <row r="32" ht="34" customHeight="1" spans="1:10" x14ac:dyDescent="0.25">
      <c r="A32" s="41" t="s">
        <v>791</v>
      </c>
      <c r="B32" s="20" t="s">
        <v>45</v>
      </c>
      <c r="C32" s="42" t="s">
        <v>548</v>
      </c>
      <c r="D32" s="24" t="s">
        <v>792</v>
      </c>
      <c r="E32" s="20" t="s">
        <v>550</v>
      </c>
      <c r="F32" s="43" t="s">
        <v>551</v>
      </c>
      <c r="G32" s="38" t="s">
        <v>20</v>
      </c>
      <c r="H32" s="38" t="s">
        <v>1</v>
      </c>
      <c r="I32" s="39"/>
      <c r="J32" s="40" t="s">
        <v>1</v>
      </c>
    </row>
    <row r="33" ht="48" customHeight="1" spans="1:10" x14ac:dyDescent="0.25">
      <c r="A33" s="33" t="s">
        <v>793</v>
      </c>
      <c r="B33" s="34" t="s">
        <v>47</v>
      </c>
      <c r="C33" s="35" t="s">
        <v>289</v>
      </c>
      <c r="D33" s="36" t="s">
        <v>794</v>
      </c>
      <c r="E33" s="34" t="s">
        <v>290</v>
      </c>
      <c r="F33" s="37" t="s">
        <v>291</v>
      </c>
      <c r="G33" s="38" t="s">
        <v>20</v>
      </c>
      <c r="H33" s="38" t="s">
        <v>1</v>
      </c>
      <c r="I33" s="39"/>
      <c r="J33" s="40" t="s">
        <v>1</v>
      </c>
    </row>
    <row r="34" ht="20" customHeight="1" spans="1:10" x14ac:dyDescent="0.25">
      <c r="A34" s="33" t="s">
        <v>795</v>
      </c>
      <c r="B34" s="34" t="s">
        <v>47</v>
      </c>
      <c r="C34" s="35" t="s">
        <v>425</v>
      </c>
      <c r="D34" s="36" t="s">
        <v>720</v>
      </c>
      <c r="E34" s="34" t="s">
        <v>290</v>
      </c>
      <c r="F34" s="37" t="s">
        <v>556</v>
      </c>
      <c r="G34" s="38" t="s">
        <v>20</v>
      </c>
      <c r="H34" s="38" t="s">
        <v>1</v>
      </c>
      <c r="I34" s="39"/>
      <c r="J34" s="40" t="s">
        <v>1</v>
      </c>
    </row>
    <row r="35" ht="34" customHeight="1" spans="1:10" x14ac:dyDescent="0.25">
      <c r="A35" s="33" t="s">
        <v>796</v>
      </c>
      <c r="B35" s="34" t="s">
        <v>47</v>
      </c>
      <c r="C35" s="35" t="s">
        <v>797</v>
      </c>
      <c r="D35" s="36" t="s">
        <v>798</v>
      </c>
      <c r="E35" s="34" t="s">
        <v>295</v>
      </c>
      <c r="F35" s="37" t="s">
        <v>560</v>
      </c>
      <c r="G35" s="38" t="s">
        <v>20</v>
      </c>
      <c r="H35" s="38" t="s">
        <v>1</v>
      </c>
      <c r="I35" s="39"/>
      <c r="J35" s="40" t="s">
        <v>1</v>
      </c>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sheetData>
  <autoFilter ref="A8:J35"/>
  <mergeCells count="6">
    <mergeCell ref="A1:I1"/>
    <mergeCell ref="B2:J2"/>
    <mergeCell ref="B3:J3"/>
    <mergeCell ref="B4:J4"/>
    <mergeCell ref="B5:J5"/>
    <mergeCell ref="A7:J7"/>
  </mergeCells>
  <conditionalFormatting sqref="J6">
    <cfRule type="cellIs" dxfId="90" priority="1" operator="equal">
      <formula>"Done"</formula>
    </cfRule>
    <cfRule type="cellIs" dxfId="91" priority="2" operator="equal">
      <formula>"Complete"</formula>
    </cfRule>
    <cfRule type="cellIs" dxfId="92" priority="3" operator="equal">
      <formula>"In progress"</formula>
    </cfRule>
    <cfRule type="cellIs" dxfId="93" priority="4" operator="equal">
      <formula>"Blocked"</formula>
    </cfRule>
    <cfRule type="cellIs" dxfId="94" priority="5" operator="equal">
      <formula>"N/A"</formula>
    </cfRule>
    <cfRule type="cellIs" dxfId="95" priority="6" operator="equal">
      <formula>"Decided"</formula>
    </cfRule>
    <cfRule type="cellIs" dxfId="96" priority="7" operator="equal">
      <formula>"Open"</formula>
    </cfRule>
  </conditionalFormatting>
  <conditionalFormatting sqref="A7">
    <cfRule type="containsText" dxfId="97" priority="8">
      <formula>NOT(ISERROR(SEARCH("LOCKED",A7)))</formula>
    </cfRule>
    <cfRule type="containsText" dxfId="98" priority="9">
      <formula>NOT(ISERROR(SEARCH("READY",A7)))</formula>
    </cfRule>
  </conditionalFormatting>
  <conditionalFormatting sqref="G9:G400">
    <cfRule type="cellIs" dxfId="99" priority="10" operator="equal">
      <formula>"Done"</formula>
    </cfRule>
    <cfRule type="cellIs" dxfId="100" priority="11" operator="equal">
      <formula>"Complete"</formula>
    </cfRule>
    <cfRule type="cellIs" dxfId="101" priority="12" operator="equal">
      <formula>"In progress"</formula>
    </cfRule>
    <cfRule type="cellIs" dxfId="102" priority="13" operator="equal">
      <formula>"Blocked"</formula>
    </cfRule>
    <cfRule type="cellIs" dxfId="103" priority="14" operator="equal">
      <formula>"N/A"</formula>
    </cfRule>
    <cfRule type="cellIs" dxfId="104" priority="15" operator="equal">
      <formula>"Decided"</formula>
    </cfRule>
    <cfRule type="cellIs" dxfId="105" priority="16" operator="equal">
      <formula>"Open"</formula>
    </cfRule>
  </conditionalFormatting>
  <dataValidations count="4">
    <dataValidation type="list" allowBlank="1" showErrorMessage="1" errorTitle="Status" error="Choose a value from the list." sqref="G10:G50">
      <formula1>"Not started,In progress,Blocked,Done,N/A"</formula1>
    </dataValidation>
    <dataValidation type="list" allowBlank="1" showErrorMessage="1" errorTitle="Status" error="Choose a value from the list." sqref="G9:G50">
      <formula1>"Not started,In progress,Blocked,Done,N/A"</formula1>
    </dataValidation>
    <dataValidation type="date" operator="greaterThan" allowBlank="1" showErrorMessage="1" errorTitle="Date done" error="Enter a date (yyyy-mm-dd)." sqref="I10:I50">
      <formula1>46023</formula1>
    </dataValidation>
    <dataValidation type="date" operator="greaterThan" allowBlank="1" showErrorMessage="1" errorTitle="Date done" error="Enter a date (yyyy-mm-dd)." sqref="I9:I50">
      <formula1>46023</formula1>
    </dataValidation>
  </dataValidations>
  <hyperlinks>
    <hyperlink ref="J1" r:id="rId1" location="#'Dashboard'!A1"/>
  </hyperlinks>
  <pageSetup paperSize="9"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61"/>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799</v>
      </c>
      <c r="B1" s="27"/>
      <c r="C1" s="27"/>
      <c r="D1" s="27"/>
      <c r="E1" s="27"/>
      <c r="F1" s="27"/>
      <c r="G1" s="27"/>
      <c r="H1" s="27"/>
      <c r="I1" s="27"/>
      <c r="J1" s="28" t="s">
        <v>202</v>
      </c>
    </row>
    <row r="2" ht="17" customHeight="1" spans="1:10" x14ac:dyDescent="0.25">
      <c r="A2" s="29" t="s">
        <v>203</v>
      </c>
      <c r="B2" s="6" t="s">
        <v>800</v>
      </c>
      <c r="C2" s="6"/>
      <c r="D2" s="6"/>
      <c r="E2" s="6"/>
      <c r="F2" s="6"/>
      <c r="G2" s="6"/>
      <c r="H2" s="6"/>
      <c r="I2" s="6"/>
      <c r="J2" s="6"/>
    </row>
    <row r="3" ht="17" customHeight="1" spans="1:10" x14ac:dyDescent="0.25">
      <c r="A3" s="29" t="s">
        <v>205</v>
      </c>
      <c r="B3" s="6" t="s">
        <v>801</v>
      </c>
      <c r="C3" s="6"/>
      <c r="D3" s="6"/>
      <c r="E3" s="6"/>
      <c r="F3" s="6"/>
      <c r="G3" s="6"/>
      <c r="H3" s="6"/>
      <c r="I3" s="6"/>
      <c r="J3" s="6"/>
    </row>
    <row r="4" ht="17" customHeight="1" spans="1:10" x14ac:dyDescent="0.25">
      <c r="A4" s="29" t="s">
        <v>207</v>
      </c>
      <c r="B4" s="6" t="s">
        <v>802</v>
      </c>
      <c r="C4" s="6"/>
      <c r="D4" s="6"/>
      <c r="E4" s="6"/>
      <c r="F4" s="6"/>
      <c r="G4" s="6"/>
      <c r="H4" s="6"/>
      <c r="I4" s="6"/>
      <c r="J4" s="6"/>
    </row>
    <row r="5" ht="17" customHeight="1" spans="1:10" x14ac:dyDescent="0.25">
      <c r="A5" s="29" t="s">
        <v>98</v>
      </c>
      <c r="B5" s="2" t="s">
        <v>134</v>
      </c>
      <c r="C5" s="2"/>
      <c r="D5" s="2"/>
      <c r="E5" s="2"/>
      <c r="F5" s="2"/>
      <c r="G5" s="2"/>
      <c r="H5" s="2"/>
      <c r="I5" s="2"/>
      <c r="J5" s="2"/>
    </row>
    <row r="6" spans="1:10" x14ac:dyDescent="0.25">
      <c r="A6" s="17" t="s">
        <v>92</v>
      </c>
      <c r="B6" s="30">
        <f>IF(D6=0,0,F6/D6)</f>
        <v>0</v>
      </c>
      <c r="C6" s="17" t="s">
        <v>91</v>
      </c>
      <c r="D6" s="31">
        <f>COUNTA(C9:C400)</f>
        <v>38</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IF('M06 Cohort'!$B$6=1,"READY: M06 is complete. Work the steps in order, 0 Gate in to 8 Gate out.","LOCKED: finish M06 Cohort first. Do not start work on this sheet.")</f>
        <v>LOCKED: finish M06 Cohort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803</v>
      </c>
      <c r="B9" s="34" t="s">
        <v>31</v>
      </c>
      <c r="C9" s="35" t="s">
        <v>804</v>
      </c>
      <c r="D9" s="36" t="s">
        <v>805</v>
      </c>
      <c r="E9" s="34" t="s">
        <v>290</v>
      </c>
      <c r="F9" s="37" t="s">
        <v>304</v>
      </c>
      <c r="G9" s="38" t="s">
        <v>20</v>
      </c>
      <c r="H9" s="38" t="s">
        <v>1</v>
      </c>
      <c r="I9" s="39"/>
      <c r="J9" s="40" t="s">
        <v>1</v>
      </c>
    </row>
    <row r="10" ht="34" customHeight="1" spans="1:10" x14ac:dyDescent="0.25">
      <c r="A10" s="33" t="s">
        <v>806</v>
      </c>
      <c r="B10" s="34" t="s">
        <v>31</v>
      </c>
      <c r="C10" s="35" t="s">
        <v>441</v>
      </c>
      <c r="D10" s="36" t="s">
        <v>807</v>
      </c>
      <c r="E10" s="34" t="s">
        <v>443</v>
      </c>
      <c r="F10" s="37" t="s">
        <v>444</v>
      </c>
      <c r="G10" s="38" t="s">
        <v>20</v>
      </c>
      <c r="H10" s="38" t="s">
        <v>1</v>
      </c>
      <c r="I10" s="39"/>
      <c r="J10" s="40" t="s">
        <v>1</v>
      </c>
    </row>
    <row r="11" ht="34" customHeight="1" spans="1:10" x14ac:dyDescent="0.25">
      <c r="A11" s="33" t="s">
        <v>808</v>
      </c>
      <c r="B11" s="34" t="s">
        <v>31</v>
      </c>
      <c r="C11" s="35" t="s">
        <v>306</v>
      </c>
      <c r="D11" s="36" t="s">
        <v>809</v>
      </c>
      <c r="E11" s="34" t="s">
        <v>308</v>
      </c>
      <c r="F11" s="37" t="s">
        <v>309</v>
      </c>
      <c r="G11" s="38" t="s">
        <v>20</v>
      </c>
      <c r="H11" s="38" t="s">
        <v>1</v>
      </c>
      <c r="I11" s="39"/>
      <c r="J11" s="40" t="s">
        <v>1</v>
      </c>
    </row>
    <row r="12" ht="48" customHeight="1" spans="1:10" x14ac:dyDescent="0.25">
      <c r="A12" s="41" t="s">
        <v>810</v>
      </c>
      <c r="B12" s="20" t="s">
        <v>33</v>
      </c>
      <c r="C12" s="42" t="s">
        <v>448</v>
      </c>
      <c r="D12" s="24" t="s">
        <v>811</v>
      </c>
      <c r="E12" s="20" t="s">
        <v>295</v>
      </c>
      <c r="F12" s="43" t="s">
        <v>812</v>
      </c>
      <c r="G12" s="38" t="s">
        <v>20</v>
      </c>
      <c r="H12" s="38" t="s">
        <v>1</v>
      </c>
      <c r="I12" s="39"/>
      <c r="J12" s="40" t="s">
        <v>1</v>
      </c>
    </row>
    <row r="13" ht="48" customHeight="1" spans="1:10" x14ac:dyDescent="0.25">
      <c r="A13" s="41" t="s">
        <v>813</v>
      </c>
      <c r="B13" s="20" t="s">
        <v>33</v>
      </c>
      <c r="C13" s="42" t="s">
        <v>456</v>
      </c>
      <c r="D13" s="24" t="s">
        <v>457</v>
      </c>
      <c r="E13" s="20" t="s">
        <v>295</v>
      </c>
      <c r="F13" s="43" t="s">
        <v>458</v>
      </c>
      <c r="G13" s="38" t="s">
        <v>20</v>
      </c>
      <c r="H13" s="38" t="s">
        <v>1</v>
      </c>
      <c r="I13" s="39"/>
      <c r="J13" s="40" t="s">
        <v>1</v>
      </c>
    </row>
    <row r="14" ht="34" customHeight="1" spans="1:10" x14ac:dyDescent="0.25">
      <c r="A14" s="41" t="s">
        <v>814</v>
      </c>
      <c r="B14" s="20" t="s">
        <v>33</v>
      </c>
      <c r="C14" s="42" t="s">
        <v>460</v>
      </c>
      <c r="D14" s="24" t="s">
        <v>815</v>
      </c>
      <c r="E14" s="20" t="s">
        <v>295</v>
      </c>
      <c r="F14" s="43" t="s">
        <v>462</v>
      </c>
      <c r="G14" s="38" t="s">
        <v>20</v>
      </c>
      <c r="H14" s="38" t="s">
        <v>1</v>
      </c>
      <c r="I14" s="39"/>
      <c r="J14" s="40" t="s">
        <v>1</v>
      </c>
    </row>
    <row r="15" ht="48" customHeight="1" spans="1:10" x14ac:dyDescent="0.25">
      <c r="A15" s="41" t="s">
        <v>816</v>
      </c>
      <c r="B15" s="20" t="s">
        <v>35</v>
      </c>
      <c r="C15" s="42" t="s">
        <v>817</v>
      </c>
      <c r="D15" s="24" t="s">
        <v>818</v>
      </c>
      <c r="E15" s="20" t="s">
        <v>295</v>
      </c>
      <c r="F15" s="43" t="s">
        <v>819</v>
      </c>
      <c r="G15" s="38" t="s">
        <v>20</v>
      </c>
      <c r="H15" s="38" t="s">
        <v>1</v>
      </c>
      <c r="I15" s="39"/>
      <c r="J15" s="40" t="s">
        <v>1</v>
      </c>
    </row>
    <row r="16" ht="48" customHeight="1" spans="1:10" x14ac:dyDescent="0.25">
      <c r="A16" s="41" t="s">
        <v>820</v>
      </c>
      <c r="B16" s="20" t="s">
        <v>35</v>
      </c>
      <c r="C16" s="42" t="s">
        <v>821</v>
      </c>
      <c r="D16" s="24" t="s">
        <v>822</v>
      </c>
      <c r="E16" s="20" t="s">
        <v>295</v>
      </c>
      <c r="F16" s="43" t="s">
        <v>823</v>
      </c>
      <c r="G16" s="38" t="s">
        <v>20</v>
      </c>
      <c r="H16" s="38" t="s">
        <v>1</v>
      </c>
      <c r="I16" s="39"/>
      <c r="J16" s="40" t="s">
        <v>1</v>
      </c>
    </row>
    <row r="17" ht="34" customHeight="1" spans="1:10" x14ac:dyDescent="0.25">
      <c r="A17" s="41" t="s">
        <v>824</v>
      </c>
      <c r="B17" s="20" t="s">
        <v>35</v>
      </c>
      <c r="C17" s="42" t="s">
        <v>825</v>
      </c>
      <c r="D17" s="24" t="s">
        <v>826</v>
      </c>
      <c r="E17" s="20" t="s">
        <v>295</v>
      </c>
      <c r="F17" s="43" t="s">
        <v>827</v>
      </c>
      <c r="G17" s="38" t="s">
        <v>20</v>
      </c>
      <c r="H17" s="38" t="s">
        <v>1</v>
      </c>
      <c r="I17" s="39"/>
      <c r="J17" s="40" t="s">
        <v>1</v>
      </c>
    </row>
    <row r="18" ht="48" customHeight="1" spans="1:10" x14ac:dyDescent="0.25">
      <c r="A18" s="41" t="s">
        <v>828</v>
      </c>
      <c r="B18" s="20" t="s">
        <v>35</v>
      </c>
      <c r="C18" s="42" t="s">
        <v>829</v>
      </c>
      <c r="D18" s="24" t="s">
        <v>830</v>
      </c>
      <c r="E18" s="20" t="s">
        <v>295</v>
      </c>
      <c r="F18" s="43" t="s">
        <v>831</v>
      </c>
      <c r="G18" s="38" t="s">
        <v>20</v>
      </c>
      <c r="H18" s="38" t="s">
        <v>1</v>
      </c>
      <c r="I18" s="39"/>
      <c r="J18" s="40" t="s">
        <v>1</v>
      </c>
    </row>
    <row r="19" ht="48" customHeight="1" spans="1:10" x14ac:dyDescent="0.25">
      <c r="A19" s="41" t="s">
        <v>832</v>
      </c>
      <c r="B19" s="20" t="s">
        <v>35</v>
      </c>
      <c r="C19" s="42" t="s">
        <v>833</v>
      </c>
      <c r="D19" s="24" t="s">
        <v>834</v>
      </c>
      <c r="E19" s="20" t="s">
        <v>295</v>
      </c>
      <c r="F19" s="43" t="s">
        <v>835</v>
      </c>
      <c r="G19" s="38" t="s">
        <v>20</v>
      </c>
      <c r="H19" s="38" t="s">
        <v>1</v>
      </c>
      <c r="I19" s="39"/>
      <c r="J19" s="40" t="s">
        <v>1</v>
      </c>
    </row>
    <row r="20" ht="48" customHeight="1" spans="1:10" x14ac:dyDescent="0.25">
      <c r="A20" s="41" t="s">
        <v>836</v>
      </c>
      <c r="B20" s="20" t="s">
        <v>35</v>
      </c>
      <c r="C20" s="42" t="s">
        <v>837</v>
      </c>
      <c r="D20" s="24" t="s">
        <v>838</v>
      </c>
      <c r="E20" s="20" t="s">
        <v>295</v>
      </c>
      <c r="F20" s="43" t="s">
        <v>839</v>
      </c>
      <c r="G20" s="38" t="s">
        <v>20</v>
      </c>
      <c r="H20" s="38" t="s">
        <v>1</v>
      </c>
      <c r="I20" s="39"/>
      <c r="J20" s="40" t="s">
        <v>1</v>
      </c>
    </row>
    <row r="21" ht="48" customHeight="1" spans="1:10" x14ac:dyDescent="0.25">
      <c r="A21" s="41" t="s">
        <v>840</v>
      </c>
      <c r="B21" s="20" t="s">
        <v>35</v>
      </c>
      <c r="C21" s="42" t="s">
        <v>841</v>
      </c>
      <c r="D21" s="24" t="s">
        <v>842</v>
      </c>
      <c r="E21" s="20" t="s">
        <v>843</v>
      </c>
      <c r="F21" s="43" t="s">
        <v>844</v>
      </c>
      <c r="G21" s="38" t="s">
        <v>20</v>
      </c>
      <c r="H21" s="38" t="s">
        <v>1</v>
      </c>
      <c r="I21" s="39"/>
      <c r="J21" s="40" t="s">
        <v>1</v>
      </c>
    </row>
    <row r="22" ht="34" customHeight="1" spans="1:10" x14ac:dyDescent="0.25">
      <c r="A22" s="41" t="s">
        <v>845</v>
      </c>
      <c r="B22" s="20" t="s">
        <v>35</v>
      </c>
      <c r="C22" s="42" t="s">
        <v>846</v>
      </c>
      <c r="D22" s="24" t="s">
        <v>847</v>
      </c>
      <c r="E22" s="20" t="s">
        <v>295</v>
      </c>
      <c r="F22" s="43" t="s">
        <v>848</v>
      </c>
      <c r="G22" s="38" t="s">
        <v>20</v>
      </c>
      <c r="H22" s="38" t="s">
        <v>1</v>
      </c>
      <c r="I22" s="39"/>
      <c r="J22" s="40" t="s">
        <v>1</v>
      </c>
    </row>
    <row r="23" ht="34" customHeight="1" spans="1:10" x14ac:dyDescent="0.25">
      <c r="A23" s="41" t="s">
        <v>849</v>
      </c>
      <c r="B23" s="20" t="s">
        <v>35</v>
      </c>
      <c r="C23" s="42" t="s">
        <v>850</v>
      </c>
      <c r="D23" s="24" t="s">
        <v>851</v>
      </c>
      <c r="E23" s="20" t="s">
        <v>295</v>
      </c>
      <c r="F23" s="43" t="s">
        <v>852</v>
      </c>
      <c r="G23" s="38" t="s">
        <v>20</v>
      </c>
      <c r="H23" s="38" t="s">
        <v>1</v>
      </c>
      <c r="I23" s="39"/>
      <c r="J23" s="40" t="s">
        <v>1</v>
      </c>
    </row>
    <row r="24" ht="34" customHeight="1" spans="1:10" x14ac:dyDescent="0.25">
      <c r="A24" s="41" t="s">
        <v>853</v>
      </c>
      <c r="B24" s="20" t="s">
        <v>35</v>
      </c>
      <c r="C24" s="42" t="s">
        <v>854</v>
      </c>
      <c r="D24" s="24" t="s">
        <v>855</v>
      </c>
      <c r="E24" s="20" t="s">
        <v>295</v>
      </c>
      <c r="F24" s="43" t="s">
        <v>856</v>
      </c>
      <c r="G24" s="38" t="s">
        <v>20</v>
      </c>
      <c r="H24" s="38" t="s">
        <v>1</v>
      </c>
      <c r="I24" s="39"/>
      <c r="J24" s="40" t="s">
        <v>1</v>
      </c>
    </row>
    <row r="25" ht="20" customHeight="1" spans="1:10" x14ac:dyDescent="0.25">
      <c r="A25" s="41" t="s">
        <v>857</v>
      </c>
      <c r="B25" s="20" t="s">
        <v>37</v>
      </c>
      <c r="C25" s="42" t="s">
        <v>858</v>
      </c>
      <c r="D25" s="24" t="s">
        <v>859</v>
      </c>
      <c r="E25" s="20" t="s">
        <v>295</v>
      </c>
      <c r="F25" s="43" t="s">
        <v>610</v>
      </c>
      <c r="G25" s="38" t="s">
        <v>20</v>
      </c>
      <c r="H25" s="38" t="s">
        <v>1</v>
      </c>
      <c r="I25" s="39"/>
      <c r="J25" s="40" t="s">
        <v>1</v>
      </c>
    </row>
    <row r="26" ht="34" customHeight="1" spans="1:10" x14ac:dyDescent="0.25">
      <c r="A26" s="41" t="s">
        <v>860</v>
      </c>
      <c r="B26" s="20" t="s">
        <v>37</v>
      </c>
      <c r="C26" s="42" t="s">
        <v>861</v>
      </c>
      <c r="D26" s="24" t="s">
        <v>862</v>
      </c>
      <c r="E26" s="20" t="s">
        <v>295</v>
      </c>
      <c r="F26" s="43" t="s">
        <v>610</v>
      </c>
      <c r="G26" s="38" t="s">
        <v>20</v>
      </c>
      <c r="H26" s="38" t="s">
        <v>1</v>
      </c>
      <c r="I26" s="39"/>
      <c r="J26" s="40" t="s">
        <v>1</v>
      </c>
    </row>
    <row r="27" ht="34" customHeight="1" spans="1:10" x14ac:dyDescent="0.25">
      <c r="A27" s="41" t="s">
        <v>863</v>
      </c>
      <c r="B27" s="20" t="s">
        <v>37</v>
      </c>
      <c r="C27" s="42" t="s">
        <v>864</v>
      </c>
      <c r="D27" s="24" t="s">
        <v>865</v>
      </c>
      <c r="E27" s="20" t="s">
        <v>295</v>
      </c>
      <c r="F27" s="43" t="s">
        <v>866</v>
      </c>
      <c r="G27" s="38" t="s">
        <v>20</v>
      </c>
      <c r="H27" s="38" t="s">
        <v>1</v>
      </c>
      <c r="I27" s="39"/>
      <c r="J27" s="40" t="s">
        <v>1</v>
      </c>
    </row>
    <row r="28" ht="20" customHeight="1" spans="1:10" x14ac:dyDescent="0.25">
      <c r="A28" s="41" t="s">
        <v>867</v>
      </c>
      <c r="B28" s="20" t="s">
        <v>37</v>
      </c>
      <c r="C28" s="42" t="s">
        <v>868</v>
      </c>
      <c r="D28" s="24" t="s">
        <v>869</v>
      </c>
      <c r="E28" s="20" t="s">
        <v>295</v>
      </c>
      <c r="F28" s="43" t="s">
        <v>692</v>
      </c>
      <c r="G28" s="38" t="s">
        <v>20</v>
      </c>
      <c r="H28" s="38" t="s">
        <v>1</v>
      </c>
      <c r="I28" s="39"/>
      <c r="J28" s="40" t="s">
        <v>1</v>
      </c>
    </row>
    <row r="29" ht="34" customHeight="1" spans="1:10" x14ac:dyDescent="0.25">
      <c r="A29" s="41" t="s">
        <v>870</v>
      </c>
      <c r="B29" s="20" t="s">
        <v>37</v>
      </c>
      <c r="C29" s="42" t="s">
        <v>871</v>
      </c>
      <c r="D29" s="24" t="s">
        <v>872</v>
      </c>
      <c r="E29" s="20" t="s">
        <v>295</v>
      </c>
      <c r="F29" s="43" t="s">
        <v>618</v>
      </c>
      <c r="G29" s="38" t="s">
        <v>20</v>
      </c>
      <c r="H29" s="38" t="s">
        <v>1</v>
      </c>
      <c r="I29" s="39"/>
      <c r="J29" s="40" t="s">
        <v>1</v>
      </c>
    </row>
    <row r="30" ht="34" customHeight="1" spans="1:10" x14ac:dyDescent="0.25">
      <c r="A30" s="41" t="s">
        <v>873</v>
      </c>
      <c r="B30" s="20" t="s">
        <v>39</v>
      </c>
      <c r="C30" s="42" t="s">
        <v>874</v>
      </c>
      <c r="D30" s="24" t="s">
        <v>875</v>
      </c>
      <c r="E30" s="20" t="s">
        <v>295</v>
      </c>
      <c r="F30" s="43" t="s">
        <v>876</v>
      </c>
      <c r="G30" s="38" t="s">
        <v>20</v>
      </c>
      <c r="H30" s="38" t="s">
        <v>1</v>
      </c>
      <c r="I30" s="39"/>
      <c r="J30" s="40" t="s">
        <v>1</v>
      </c>
    </row>
    <row r="31" ht="48" customHeight="1" spans="1:10" x14ac:dyDescent="0.25">
      <c r="A31" s="41" t="s">
        <v>877</v>
      </c>
      <c r="B31" s="20" t="s">
        <v>41</v>
      </c>
      <c r="C31" s="42" t="s">
        <v>878</v>
      </c>
      <c r="D31" s="24" t="s">
        <v>879</v>
      </c>
      <c r="E31" s="20" t="s">
        <v>264</v>
      </c>
      <c r="F31" s="43" t="s">
        <v>880</v>
      </c>
      <c r="G31" s="38" t="s">
        <v>20</v>
      </c>
      <c r="H31" s="38" t="s">
        <v>1</v>
      </c>
      <c r="I31" s="39"/>
      <c r="J31" s="40" t="s">
        <v>1</v>
      </c>
    </row>
    <row r="32" ht="34" customHeight="1" spans="1:10" x14ac:dyDescent="0.25">
      <c r="A32" s="41" t="s">
        <v>881</v>
      </c>
      <c r="B32" s="20" t="s">
        <v>41</v>
      </c>
      <c r="C32" s="42" t="s">
        <v>882</v>
      </c>
      <c r="D32" s="24" t="s">
        <v>883</v>
      </c>
      <c r="E32" s="20" t="s">
        <v>264</v>
      </c>
      <c r="F32" s="43" t="s">
        <v>884</v>
      </c>
      <c r="G32" s="38" t="s">
        <v>20</v>
      </c>
      <c r="H32" s="38" t="s">
        <v>1</v>
      </c>
      <c r="I32" s="39"/>
      <c r="J32" s="40" t="s">
        <v>1</v>
      </c>
    </row>
    <row r="33" ht="34" customHeight="1" spans="1:10" x14ac:dyDescent="0.25">
      <c r="A33" s="41" t="s">
        <v>885</v>
      </c>
      <c r="B33" s="20" t="s">
        <v>41</v>
      </c>
      <c r="C33" s="42" t="s">
        <v>886</v>
      </c>
      <c r="D33" s="24" t="s">
        <v>887</v>
      </c>
      <c r="E33" s="20" t="s">
        <v>264</v>
      </c>
      <c r="F33" s="43" t="s">
        <v>888</v>
      </c>
      <c r="G33" s="38" t="s">
        <v>20</v>
      </c>
      <c r="H33" s="38" t="s">
        <v>1</v>
      </c>
      <c r="I33" s="39"/>
      <c r="J33" s="40" t="s">
        <v>1</v>
      </c>
    </row>
    <row r="34" ht="34" customHeight="1" spans="1:10" x14ac:dyDescent="0.25">
      <c r="A34" s="41" t="s">
        <v>889</v>
      </c>
      <c r="B34" s="20" t="s">
        <v>43</v>
      </c>
      <c r="C34" s="42" t="s">
        <v>516</v>
      </c>
      <c r="D34" s="24" t="s">
        <v>517</v>
      </c>
      <c r="E34" s="20" t="s">
        <v>295</v>
      </c>
      <c r="F34" s="43" t="s">
        <v>518</v>
      </c>
      <c r="G34" s="38" t="s">
        <v>20</v>
      </c>
      <c r="H34" s="38" t="s">
        <v>1</v>
      </c>
      <c r="I34" s="39"/>
      <c r="J34" s="40" t="s">
        <v>1</v>
      </c>
    </row>
    <row r="35" ht="34" customHeight="1" spans="1:10" x14ac:dyDescent="0.25">
      <c r="A35" s="41" t="s">
        <v>890</v>
      </c>
      <c r="B35" s="20" t="s">
        <v>43</v>
      </c>
      <c r="C35" s="42" t="s">
        <v>520</v>
      </c>
      <c r="D35" s="24" t="s">
        <v>521</v>
      </c>
      <c r="E35" s="20" t="s">
        <v>392</v>
      </c>
      <c r="F35" s="43" t="s">
        <v>522</v>
      </c>
      <c r="G35" s="38" t="s">
        <v>20</v>
      </c>
      <c r="H35" s="38" t="s">
        <v>1</v>
      </c>
      <c r="I35" s="39"/>
      <c r="J35" s="40" t="s">
        <v>1</v>
      </c>
    </row>
    <row r="36" ht="34" customHeight="1" spans="1:10" x14ac:dyDescent="0.25">
      <c r="A36" s="41" t="s">
        <v>891</v>
      </c>
      <c r="B36" s="20" t="s">
        <v>43</v>
      </c>
      <c r="C36" s="42" t="s">
        <v>524</v>
      </c>
      <c r="D36" s="24" t="s">
        <v>525</v>
      </c>
      <c r="E36" s="20" t="s">
        <v>392</v>
      </c>
      <c r="F36" s="43" t="s">
        <v>526</v>
      </c>
      <c r="G36" s="38" t="s">
        <v>20</v>
      </c>
      <c r="H36" s="38" t="s">
        <v>1</v>
      </c>
      <c r="I36" s="39"/>
      <c r="J36" s="40" t="s">
        <v>1</v>
      </c>
    </row>
    <row r="37" ht="34" customHeight="1" spans="1:10" x14ac:dyDescent="0.25">
      <c r="A37" s="41" t="s">
        <v>892</v>
      </c>
      <c r="B37" s="20" t="s">
        <v>43</v>
      </c>
      <c r="C37" s="42" t="s">
        <v>893</v>
      </c>
      <c r="D37" s="24" t="s">
        <v>894</v>
      </c>
      <c r="E37" s="20" t="s">
        <v>392</v>
      </c>
      <c r="F37" s="43" t="s">
        <v>895</v>
      </c>
      <c r="G37" s="38" t="s">
        <v>20</v>
      </c>
      <c r="H37" s="38" t="s">
        <v>1</v>
      </c>
      <c r="I37" s="39"/>
      <c r="J37" s="40" t="s">
        <v>1</v>
      </c>
    </row>
    <row r="38" ht="34" customHeight="1" spans="1:10" x14ac:dyDescent="0.25">
      <c r="A38" s="41" t="s">
        <v>896</v>
      </c>
      <c r="B38" s="20" t="s">
        <v>43</v>
      </c>
      <c r="C38" s="42" t="s">
        <v>897</v>
      </c>
      <c r="D38" s="24" t="s">
        <v>898</v>
      </c>
      <c r="E38" s="20" t="s">
        <v>392</v>
      </c>
      <c r="F38" s="43" t="s">
        <v>899</v>
      </c>
      <c r="G38" s="38" t="s">
        <v>20</v>
      </c>
      <c r="H38" s="38" t="s">
        <v>1</v>
      </c>
      <c r="I38" s="39"/>
      <c r="J38" s="40" t="s">
        <v>1</v>
      </c>
    </row>
    <row r="39" ht="34" customHeight="1" spans="1:10" x14ac:dyDescent="0.25">
      <c r="A39" s="41" t="s">
        <v>900</v>
      </c>
      <c r="B39" s="20" t="s">
        <v>43</v>
      </c>
      <c r="C39" s="42" t="s">
        <v>901</v>
      </c>
      <c r="D39" s="24" t="s">
        <v>902</v>
      </c>
      <c r="E39" s="20" t="s">
        <v>295</v>
      </c>
      <c r="F39" s="43" t="s">
        <v>903</v>
      </c>
      <c r="G39" s="38" t="s">
        <v>20</v>
      </c>
      <c r="H39" s="38" t="s">
        <v>1</v>
      </c>
      <c r="I39" s="39"/>
      <c r="J39" s="40" t="s">
        <v>1</v>
      </c>
    </row>
    <row r="40" ht="48" customHeight="1" spans="1:10" x14ac:dyDescent="0.25">
      <c r="A40" s="41" t="s">
        <v>904</v>
      </c>
      <c r="B40" s="20" t="s">
        <v>45</v>
      </c>
      <c r="C40" s="42" t="s">
        <v>536</v>
      </c>
      <c r="D40" s="24" t="s">
        <v>537</v>
      </c>
      <c r="E40" s="20" t="s">
        <v>295</v>
      </c>
      <c r="F40" s="43" t="s">
        <v>538</v>
      </c>
      <c r="G40" s="38" t="s">
        <v>20</v>
      </c>
      <c r="H40" s="38" t="s">
        <v>1</v>
      </c>
      <c r="I40" s="39"/>
      <c r="J40" s="40" t="s">
        <v>1</v>
      </c>
    </row>
    <row r="41" ht="48" customHeight="1" spans="1:10" x14ac:dyDescent="0.25">
      <c r="A41" s="41" t="s">
        <v>905</v>
      </c>
      <c r="B41" s="20" t="s">
        <v>45</v>
      </c>
      <c r="C41" s="42" t="s">
        <v>540</v>
      </c>
      <c r="D41" s="24" t="s">
        <v>906</v>
      </c>
      <c r="E41" s="20" t="s">
        <v>295</v>
      </c>
      <c r="F41" s="43" t="s">
        <v>542</v>
      </c>
      <c r="G41" s="38" t="s">
        <v>20</v>
      </c>
      <c r="H41" s="38" t="s">
        <v>1</v>
      </c>
      <c r="I41" s="39"/>
      <c r="J41" s="40" t="s">
        <v>1</v>
      </c>
    </row>
    <row r="42" ht="34" customHeight="1" spans="1:10" x14ac:dyDescent="0.25">
      <c r="A42" s="41" t="s">
        <v>907</v>
      </c>
      <c r="B42" s="20" t="s">
        <v>45</v>
      </c>
      <c r="C42" s="42" t="s">
        <v>544</v>
      </c>
      <c r="D42" s="24" t="s">
        <v>545</v>
      </c>
      <c r="E42" s="20" t="s">
        <v>295</v>
      </c>
      <c r="F42" s="43" t="s">
        <v>546</v>
      </c>
      <c r="G42" s="38" t="s">
        <v>20</v>
      </c>
      <c r="H42" s="38" t="s">
        <v>1</v>
      </c>
      <c r="I42" s="39"/>
      <c r="J42" s="40" t="s">
        <v>1</v>
      </c>
    </row>
    <row r="43" ht="34" customHeight="1" spans="1:10" x14ac:dyDescent="0.25">
      <c r="A43" s="41" t="s">
        <v>908</v>
      </c>
      <c r="B43" s="20" t="s">
        <v>45</v>
      </c>
      <c r="C43" s="42" t="s">
        <v>548</v>
      </c>
      <c r="D43" s="24" t="s">
        <v>909</v>
      </c>
      <c r="E43" s="20" t="s">
        <v>550</v>
      </c>
      <c r="F43" s="43" t="s">
        <v>551</v>
      </c>
      <c r="G43" s="38" t="s">
        <v>20</v>
      </c>
      <c r="H43" s="38" t="s">
        <v>1</v>
      </c>
      <c r="I43" s="39"/>
      <c r="J43" s="40" t="s">
        <v>1</v>
      </c>
    </row>
    <row r="44" ht="48" customHeight="1" spans="1:10" x14ac:dyDescent="0.25">
      <c r="A44" s="33" t="s">
        <v>910</v>
      </c>
      <c r="B44" s="34" t="s">
        <v>47</v>
      </c>
      <c r="C44" s="35" t="s">
        <v>289</v>
      </c>
      <c r="D44" s="36" t="s">
        <v>911</v>
      </c>
      <c r="E44" s="34" t="s">
        <v>290</v>
      </c>
      <c r="F44" s="37" t="s">
        <v>291</v>
      </c>
      <c r="G44" s="38" t="s">
        <v>20</v>
      </c>
      <c r="H44" s="38" t="s">
        <v>1</v>
      </c>
      <c r="I44" s="39"/>
      <c r="J44" s="40" t="s">
        <v>1</v>
      </c>
    </row>
    <row r="45" ht="34" customHeight="1" spans="1:10" x14ac:dyDescent="0.25">
      <c r="A45" s="33" t="s">
        <v>912</v>
      </c>
      <c r="B45" s="34" t="s">
        <v>47</v>
      </c>
      <c r="C45" s="35" t="s">
        <v>425</v>
      </c>
      <c r="D45" s="36" t="s">
        <v>913</v>
      </c>
      <c r="E45" s="34" t="s">
        <v>914</v>
      </c>
      <c r="F45" s="37" t="s">
        <v>556</v>
      </c>
      <c r="G45" s="38" t="s">
        <v>20</v>
      </c>
      <c r="H45" s="38" t="s">
        <v>1</v>
      </c>
      <c r="I45" s="39"/>
      <c r="J45" s="40" t="s">
        <v>1</v>
      </c>
    </row>
    <row r="46" ht="34" customHeight="1" spans="1:10" x14ac:dyDescent="0.25">
      <c r="A46" s="33" t="s">
        <v>915</v>
      </c>
      <c r="B46" s="34" t="s">
        <v>47</v>
      </c>
      <c r="C46" s="35" t="s">
        <v>916</v>
      </c>
      <c r="D46" s="36" t="s">
        <v>917</v>
      </c>
      <c r="E46" s="34" t="s">
        <v>295</v>
      </c>
      <c r="F46" s="37" t="s">
        <v>560</v>
      </c>
      <c r="G46" s="38" t="s">
        <v>20</v>
      </c>
      <c r="H46" s="38" t="s">
        <v>1</v>
      </c>
      <c r="I46" s="39"/>
      <c r="J46" s="40" t="s">
        <v>1</v>
      </c>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row r="56" spans="7:10" x14ac:dyDescent="0.25">
      <c r="G56" s="44"/>
      <c r="H56" s="44"/>
      <c r="I56" s="45"/>
      <c r="J56" s="44"/>
    </row>
    <row r="57" spans="7:10" x14ac:dyDescent="0.25">
      <c r="G57" s="44"/>
      <c r="H57" s="44"/>
      <c r="I57" s="45"/>
      <c r="J57" s="44"/>
    </row>
    <row r="58" spans="7:10" x14ac:dyDescent="0.25">
      <c r="G58" s="44"/>
      <c r="H58" s="44"/>
      <c r="I58" s="45"/>
      <c r="J58" s="44"/>
    </row>
    <row r="59" spans="7:10" x14ac:dyDescent="0.25">
      <c r="G59" s="44"/>
      <c r="H59" s="44"/>
      <c r="I59" s="45"/>
      <c r="J59" s="44"/>
    </row>
    <row r="60" spans="7:10" x14ac:dyDescent="0.25">
      <c r="G60" s="44"/>
      <c r="H60" s="44"/>
      <c r="I60" s="45"/>
      <c r="J60" s="44"/>
    </row>
    <row r="61" spans="7:10" x14ac:dyDescent="0.25">
      <c r="G61" s="44"/>
      <c r="H61" s="44"/>
      <c r="I61" s="45"/>
      <c r="J61" s="44"/>
    </row>
  </sheetData>
  <autoFilter ref="A8:J46"/>
  <mergeCells count="6">
    <mergeCell ref="A1:I1"/>
    <mergeCell ref="B2:J2"/>
    <mergeCell ref="B3:J3"/>
    <mergeCell ref="B4:J4"/>
    <mergeCell ref="B5:J5"/>
    <mergeCell ref="A7:J7"/>
  </mergeCells>
  <conditionalFormatting sqref="J6">
    <cfRule type="cellIs" dxfId="106" priority="1" operator="equal">
      <formula>"Done"</formula>
    </cfRule>
    <cfRule type="cellIs" dxfId="107" priority="2" operator="equal">
      <formula>"Complete"</formula>
    </cfRule>
    <cfRule type="cellIs" dxfId="108" priority="3" operator="equal">
      <formula>"In progress"</formula>
    </cfRule>
    <cfRule type="cellIs" dxfId="109" priority="4" operator="equal">
      <formula>"Blocked"</formula>
    </cfRule>
    <cfRule type="cellIs" dxfId="110" priority="5" operator="equal">
      <formula>"N/A"</formula>
    </cfRule>
    <cfRule type="cellIs" dxfId="111" priority="6" operator="equal">
      <formula>"Decided"</formula>
    </cfRule>
    <cfRule type="cellIs" dxfId="112" priority="7" operator="equal">
      <formula>"Open"</formula>
    </cfRule>
  </conditionalFormatting>
  <conditionalFormatting sqref="A7">
    <cfRule type="containsText" dxfId="113" priority="8">
      <formula>NOT(ISERROR(SEARCH("LOCKED",A7)))</formula>
    </cfRule>
    <cfRule type="containsText" dxfId="114" priority="9">
      <formula>NOT(ISERROR(SEARCH("READY",A7)))</formula>
    </cfRule>
  </conditionalFormatting>
  <conditionalFormatting sqref="G9:G400">
    <cfRule type="cellIs" dxfId="115" priority="10" operator="equal">
      <formula>"Done"</formula>
    </cfRule>
    <cfRule type="cellIs" dxfId="116" priority="11" operator="equal">
      <formula>"Complete"</formula>
    </cfRule>
    <cfRule type="cellIs" dxfId="117" priority="12" operator="equal">
      <formula>"In progress"</formula>
    </cfRule>
    <cfRule type="cellIs" dxfId="118" priority="13" operator="equal">
      <formula>"Blocked"</formula>
    </cfRule>
    <cfRule type="cellIs" dxfId="119" priority="14" operator="equal">
      <formula>"N/A"</formula>
    </cfRule>
    <cfRule type="cellIs" dxfId="120" priority="15" operator="equal">
      <formula>"Decided"</formula>
    </cfRule>
    <cfRule type="cellIs" dxfId="121" priority="16" operator="equal">
      <formula>"Open"</formula>
    </cfRule>
  </conditionalFormatting>
  <dataValidations count="4">
    <dataValidation type="list" allowBlank="1" showErrorMessage="1" errorTitle="Status" error="Choose a value from the list." sqref="G10:G61">
      <formula1>"Not started,In progress,Blocked,Done,N/A"</formula1>
    </dataValidation>
    <dataValidation type="list" allowBlank="1" showErrorMessage="1" errorTitle="Status" error="Choose a value from the list." sqref="G9:G61">
      <formula1>"Not started,In progress,Blocked,Done,N/A"</formula1>
    </dataValidation>
    <dataValidation type="date" operator="greaterThan" allowBlank="1" showErrorMessage="1" errorTitle="Date done" error="Enter a date (yyyy-mm-dd)." sqref="I10:I61">
      <formula1>46023</formula1>
    </dataValidation>
    <dataValidation type="date" operator="greaterThan" allowBlank="1" showErrorMessage="1" errorTitle="Date done" error="Enter a date (yyyy-mm-dd)." sqref="I9:I61">
      <formula1>46023</formula1>
    </dataValidation>
  </dataValidations>
  <hyperlinks>
    <hyperlink ref="J1" r:id="rId1" location="#'Dashboard'!A1"/>
  </hyperlinks>
  <pageSetup paperSize="9"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2"/>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918</v>
      </c>
      <c r="B1" s="27"/>
      <c r="C1" s="27"/>
      <c r="D1" s="27"/>
      <c r="E1" s="27"/>
      <c r="F1" s="27"/>
      <c r="G1" s="27"/>
      <c r="H1" s="27"/>
      <c r="I1" s="27"/>
      <c r="J1" s="28" t="s">
        <v>202</v>
      </c>
    </row>
    <row r="2" ht="17" customHeight="1" spans="1:10" x14ac:dyDescent="0.25">
      <c r="A2" s="29" t="s">
        <v>203</v>
      </c>
      <c r="B2" s="6" t="s">
        <v>919</v>
      </c>
      <c r="C2" s="6"/>
      <c r="D2" s="6"/>
      <c r="E2" s="6"/>
      <c r="F2" s="6"/>
      <c r="G2" s="6"/>
      <c r="H2" s="6"/>
      <c r="I2" s="6"/>
      <c r="J2" s="6"/>
    </row>
    <row r="3" ht="17" customHeight="1" spans="1:10" x14ac:dyDescent="0.25">
      <c r="A3" s="29" t="s">
        <v>205</v>
      </c>
      <c r="B3" s="6" t="s">
        <v>920</v>
      </c>
      <c r="C3" s="6"/>
      <c r="D3" s="6"/>
      <c r="E3" s="6"/>
      <c r="F3" s="6"/>
      <c r="G3" s="6"/>
      <c r="H3" s="6"/>
      <c r="I3" s="6"/>
      <c r="J3" s="6"/>
    </row>
    <row r="4" ht="17" customHeight="1" spans="1:10" x14ac:dyDescent="0.25">
      <c r="A4" s="29" t="s">
        <v>207</v>
      </c>
      <c r="B4" s="6" t="s">
        <v>921</v>
      </c>
      <c r="C4" s="6"/>
      <c r="D4" s="6"/>
      <c r="E4" s="6"/>
      <c r="F4" s="6"/>
      <c r="G4" s="6"/>
      <c r="H4" s="6"/>
      <c r="I4" s="6"/>
      <c r="J4" s="6"/>
    </row>
    <row r="5" ht="17" customHeight="1" spans="1:10" x14ac:dyDescent="0.25">
      <c r="A5" s="29" t="s">
        <v>98</v>
      </c>
      <c r="B5" s="2" t="s">
        <v>139</v>
      </c>
      <c r="C5" s="2"/>
      <c r="D5" s="2"/>
      <c r="E5" s="2"/>
      <c r="F5" s="2"/>
      <c r="G5" s="2"/>
      <c r="H5" s="2"/>
      <c r="I5" s="2"/>
      <c r="J5" s="2"/>
    </row>
    <row r="6" spans="1:10" x14ac:dyDescent="0.25">
      <c r="A6" s="17" t="s">
        <v>92</v>
      </c>
      <c r="B6" s="30">
        <f>IF(D6=0,0,F6/D6)</f>
        <v>0</v>
      </c>
      <c r="C6" s="17" t="s">
        <v>91</v>
      </c>
      <c r="D6" s="31">
        <f>COUNTA(C9:C400)</f>
        <v>29</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IF('M07 Enrolment'!$B$6=1,"READY: M07 is complete. Work the steps in order, 0 Gate in to 8 Gate out.","LOCKED: finish M07 Enrolment first. Do not start work on this sheet.")</f>
        <v>LOCKED: finish M07 Enrolment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922</v>
      </c>
      <c r="B9" s="34" t="s">
        <v>31</v>
      </c>
      <c r="C9" s="35" t="s">
        <v>923</v>
      </c>
      <c r="D9" s="36" t="s">
        <v>924</v>
      </c>
      <c r="E9" s="34" t="s">
        <v>290</v>
      </c>
      <c r="F9" s="37" t="s">
        <v>304</v>
      </c>
      <c r="G9" s="38" t="s">
        <v>20</v>
      </c>
      <c r="H9" s="38" t="s">
        <v>1</v>
      </c>
      <c r="I9" s="39"/>
      <c r="J9" s="40" t="s">
        <v>1</v>
      </c>
    </row>
    <row r="10" ht="34" customHeight="1" spans="1:10" x14ac:dyDescent="0.25">
      <c r="A10" s="33" t="s">
        <v>925</v>
      </c>
      <c r="B10" s="34" t="s">
        <v>31</v>
      </c>
      <c r="C10" s="35" t="s">
        <v>441</v>
      </c>
      <c r="D10" s="36" t="s">
        <v>926</v>
      </c>
      <c r="E10" s="34" t="s">
        <v>443</v>
      </c>
      <c r="F10" s="37" t="s">
        <v>444</v>
      </c>
      <c r="G10" s="38" t="s">
        <v>20</v>
      </c>
      <c r="H10" s="38" t="s">
        <v>1</v>
      </c>
      <c r="I10" s="39"/>
      <c r="J10" s="40" t="s">
        <v>1</v>
      </c>
    </row>
    <row r="11" ht="34" customHeight="1" spans="1:10" x14ac:dyDescent="0.25">
      <c r="A11" s="33" t="s">
        <v>927</v>
      </c>
      <c r="B11" s="34" t="s">
        <v>31</v>
      </c>
      <c r="C11" s="35" t="s">
        <v>306</v>
      </c>
      <c r="D11" s="36" t="s">
        <v>928</v>
      </c>
      <c r="E11" s="34" t="s">
        <v>308</v>
      </c>
      <c r="F11" s="37" t="s">
        <v>309</v>
      </c>
      <c r="G11" s="38" t="s">
        <v>20</v>
      </c>
      <c r="H11" s="38" t="s">
        <v>1</v>
      </c>
      <c r="I11" s="39"/>
      <c r="J11" s="40" t="s">
        <v>1</v>
      </c>
    </row>
    <row r="12" ht="48" customHeight="1" spans="1:10" x14ac:dyDescent="0.25">
      <c r="A12" s="41" t="s">
        <v>929</v>
      </c>
      <c r="B12" s="20" t="s">
        <v>33</v>
      </c>
      <c r="C12" s="42" t="s">
        <v>448</v>
      </c>
      <c r="D12" s="24" t="s">
        <v>930</v>
      </c>
      <c r="E12" s="20" t="s">
        <v>295</v>
      </c>
      <c r="F12" s="43" t="s">
        <v>931</v>
      </c>
      <c r="G12" s="38" t="s">
        <v>20</v>
      </c>
      <c r="H12" s="38" t="s">
        <v>1</v>
      </c>
      <c r="I12" s="39"/>
      <c r="J12" s="40" t="s">
        <v>1</v>
      </c>
    </row>
    <row r="13" ht="34" customHeight="1" spans="1:10" x14ac:dyDescent="0.25">
      <c r="A13" s="41" t="s">
        <v>932</v>
      </c>
      <c r="B13" s="20" t="s">
        <v>33</v>
      </c>
      <c r="C13" s="42" t="s">
        <v>452</v>
      </c>
      <c r="D13" s="24" t="s">
        <v>933</v>
      </c>
      <c r="E13" s="20" t="s">
        <v>295</v>
      </c>
      <c r="F13" s="43" t="s">
        <v>454</v>
      </c>
      <c r="G13" s="38" t="s">
        <v>20</v>
      </c>
      <c r="H13" s="38" t="s">
        <v>1</v>
      </c>
      <c r="I13" s="39"/>
      <c r="J13" s="40" t="s">
        <v>1</v>
      </c>
    </row>
    <row r="14" ht="48" customHeight="1" spans="1:10" x14ac:dyDescent="0.25">
      <c r="A14" s="41" t="s">
        <v>934</v>
      </c>
      <c r="B14" s="20" t="s">
        <v>33</v>
      </c>
      <c r="C14" s="42" t="s">
        <v>456</v>
      </c>
      <c r="D14" s="24" t="s">
        <v>457</v>
      </c>
      <c r="E14" s="20" t="s">
        <v>295</v>
      </c>
      <c r="F14" s="43" t="s">
        <v>458</v>
      </c>
      <c r="G14" s="38" t="s">
        <v>20</v>
      </c>
      <c r="H14" s="38" t="s">
        <v>1</v>
      </c>
      <c r="I14" s="39"/>
      <c r="J14" s="40" t="s">
        <v>1</v>
      </c>
    </row>
    <row r="15" ht="34" customHeight="1" spans="1:10" x14ac:dyDescent="0.25">
      <c r="A15" s="41" t="s">
        <v>935</v>
      </c>
      <c r="B15" s="20" t="s">
        <v>33</v>
      </c>
      <c r="C15" s="42" t="s">
        <v>460</v>
      </c>
      <c r="D15" s="24" t="s">
        <v>936</v>
      </c>
      <c r="E15" s="20" t="s">
        <v>295</v>
      </c>
      <c r="F15" s="43" t="s">
        <v>462</v>
      </c>
      <c r="G15" s="38" t="s">
        <v>20</v>
      </c>
      <c r="H15" s="38" t="s">
        <v>1</v>
      </c>
      <c r="I15" s="39"/>
      <c r="J15" s="40" t="s">
        <v>1</v>
      </c>
    </row>
    <row r="16" ht="34" customHeight="1" spans="1:10" x14ac:dyDescent="0.25">
      <c r="A16" s="41" t="s">
        <v>937</v>
      </c>
      <c r="B16" s="20" t="s">
        <v>35</v>
      </c>
      <c r="C16" s="42" t="s">
        <v>938</v>
      </c>
      <c r="D16" s="24" t="s">
        <v>939</v>
      </c>
      <c r="E16" s="20" t="s">
        <v>295</v>
      </c>
      <c r="F16" s="43" t="s">
        <v>940</v>
      </c>
      <c r="G16" s="38" t="s">
        <v>20</v>
      </c>
      <c r="H16" s="38" t="s">
        <v>1</v>
      </c>
      <c r="I16" s="39"/>
      <c r="J16" s="40" t="s">
        <v>1</v>
      </c>
    </row>
    <row r="17" ht="20" customHeight="1" spans="1:10" x14ac:dyDescent="0.25">
      <c r="A17" s="41" t="s">
        <v>941</v>
      </c>
      <c r="B17" s="20" t="s">
        <v>35</v>
      </c>
      <c r="C17" s="42" t="s">
        <v>942</v>
      </c>
      <c r="D17" s="24" t="s">
        <v>943</v>
      </c>
      <c r="E17" s="20" t="s">
        <v>295</v>
      </c>
      <c r="F17" s="43" t="s">
        <v>944</v>
      </c>
      <c r="G17" s="38" t="s">
        <v>20</v>
      </c>
      <c r="H17" s="38" t="s">
        <v>1</v>
      </c>
      <c r="I17" s="39"/>
      <c r="J17" s="40" t="s">
        <v>1</v>
      </c>
    </row>
    <row r="18" ht="34" customHeight="1" spans="1:10" x14ac:dyDescent="0.25">
      <c r="A18" s="41" t="s">
        <v>945</v>
      </c>
      <c r="B18" s="20" t="s">
        <v>35</v>
      </c>
      <c r="C18" s="42" t="s">
        <v>946</v>
      </c>
      <c r="D18" s="24" t="s">
        <v>947</v>
      </c>
      <c r="E18" s="20" t="s">
        <v>295</v>
      </c>
      <c r="F18" s="43" t="s">
        <v>948</v>
      </c>
      <c r="G18" s="38" t="s">
        <v>20</v>
      </c>
      <c r="H18" s="38" t="s">
        <v>1</v>
      </c>
      <c r="I18" s="39"/>
      <c r="J18" s="40" t="s">
        <v>1</v>
      </c>
    </row>
    <row r="19" ht="34" customHeight="1" spans="1:10" x14ac:dyDescent="0.25">
      <c r="A19" s="41" t="s">
        <v>949</v>
      </c>
      <c r="B19" s="20" t="s">
        <v>35</v>
      </c>
      <c r="C19" s="42" t="s">
        <v>950</v>
      </c>
      <c r="D19" s="24" t="s">
        <v>951</v>
      </c>
      <c r="E19" s="20" t="s">
        <v>295</v>
      </c>
      <c r="F19" s="43" t="s">
        <v>952</v>
      </c>
      <c r="G19" s="38" t="s">
        <v>20</v>
      </c>
      <c r="H19" s="38" t="s">
        <v>1</v>
      </c>
      <c r="I19" s="39"/>
      <c r="J19" s="40" t="s">
        <v>1</v>
      </c>
    </row>
    <row r="20" ht="34" customHeight="1" spans="1:10" x14ac:dyDescent="0.25">
      <c r="A20" s="41" t="s">
        <v>953</v>
      </c>
      <c r="B20" s="20" t="s">
        <v>35</v>
      </c>
      <c r="C20" s="42" t="s">
        <v>954</v>
      </c>
      <c r="D20" s="24" t="s">
        <v>955</v>
      </c>
      <c r="E20" s="20" t="s">
        <v>295</v>
      </c>
      <c r="F20" s="43" t="s">
        <v>956</v>
      </c>
      <c r="G20" s="38" t="s">
        <v>20</v>
      </c>
      <c r="H20" s="38" t="s">
        <v>1</v>
      </c>
      <c r="I20" s="39"/>
      <c r="J20" s="40" t="s">
        <v>1</v>
      </c>
    </row>
    <row r="21" ht="20" customHeight="1" spans="1:10" x14ac:dyDescent="0.25">
      <c r="A21" s="41" t="s">
        <v>957</v>
      </c>
      <c r="B21" s="20" t="s">
        <v>35</v>
      </c>
      <c r="C21" s="42" t="s">
        <v>958</v>
      </c>
      <c r="D21" s="24" t="s">
        <v>959</v>
      </c>
      <c r="E21" s="20" t="s">
        <v>295</v>
      </c>
      <c r="F21" s="43" t="s">
        <v>960</v>
      </c>
      <c r="G21" s="38" t="s">
        <v>20</v>
      </c>
      <c r="H21" s="38" t="s">
        <v>1</v>
      </c>
      <c r="I21" s="39"/>
      <c r="J21" s="40" t="s">
        <v>1</v>
      </c>
    </row>
    <row r="22" ht="20" customHeight="1" spans="1:10" x14ac:dyDescent="0.25">
      <c r="A22" s="41" t="s">
        <v>961</v>
      </c>
      <c r="B22" s="20" t="s">
        <v>37</v>
      </c>
      <c r="C22" s="42" t="s">
        <v>962</v>
      </c>
      <c r="D22" s="24" t="s">
        <v>963</v>
      </c>
      <c r="E22" s="20" t="s">
        <v>295</v>
      </c>
      <c r="F22" s="43" t="s">
        <v>610</v>
      </c>
      <c r="G22" s="38" t="s">
        <v>20</v>
      </c>
      <c r="H22" s="38" t="s">
        <v>1</v>
      </c>
      <c r="I22" s="39"/>
      <c r="J22" s="40" t="s">
        <v>1</v>
      </c>
    </row>
    <row r="23" ht="20" customHeight="1" spans="1:10" x14ac:dyDescent="0.25">
      <c r="A23" s="41" t="s">
        <v>964</v>
      </c>
      <c r="B23" s="20" t="s">
        <v>37</v>
      </c>
      <c r="C23" s="42" t="s">
        <v>965</v>
      </c>
      <c r="D23" s="24" t="s">
        <v>966</v>
      </c>
      <c r="E23" s="20" t="s">
        <v>295</v>
      </c>
      <c r="F23" s="43" t="s">
        <v>618</v>
      </c>
      <c r="G23" s="38" t="s">
        <v>20</v>
      </c>
      <c r="H23" s="38" t="s">
        <v>1</v>
      </c>
      <c r="I23" s="39"/>
      <c r="J23" s="40" t="s">
        <v>1</v>
      </c>
    </row>
    <row r="24" ht="34" customHeight="1" spans="1:10" x14ac:dyDescent="0.25">
      <c r="A24" s="41" t="s">
        <v>967</v>
      </c>
      <c r="B24" s="20" t="s">
        <v>39</v>
      </c>
      <c r="C24" s="42" t="s">
        <v>968</v>
      </c>
      <c r="D24" s="24" t="s">
        <v>969</v>
      </c>
      <c r="E24" s="20" t="s">
        <v>295</v>
      </c>
      <c r="F24" s="43" t="s">
        <v>876</v>
      </c>
      <c r="G24" s="38" t="s">
        <v>20</v>
      </c>
      <c r="H24" s="38" t="s">
        <v>1</v>
      </c>
      <c r="I24" s="39"/>
      <c r="J24" s="40" t="s">
        <v>1</v>
      </c>
    </row>
    <row r="25" ht="34" customHeight="1" spans="1:10" x14ac:dyDescent="0.25">
      <c r="A25" s="41" t="s">
        <v>970</v>
      </c>
      <c r="B25" s="20" t="s">
        <v>41</v>
      </c>
      <c r="C25" s="42" t="s">
        <v>971</v>
      </c>
      <c r="D25" s="24" t="s">
        <v>972</v>
      </c>
      <c r="E25" s="20" t="s">
        <v>264</v>
      </c>
      <c r="F25" s="43" t="s">
        <v>973</v>
      </c>
      <c r="G25" s="38" t="s">
        <v>20</v>
      </c>
      <c r="H25" s="38" t="s">
        <v>1</v>
      </c>
      <c r="I25" s="39"/>
      <c r="J25" s="40" t="s">
        <v>1</v>
      </c>
    </row>
    <row r="26" ht="34" customHeight="1" spans="1:10" x14ac:dyDescent="0.25">
      <c r="A26" s="41" t="s">
        <v>974</v>
      </c>
      <c r="B26" s="20" t="s">
        <v>43</v>
      </c>
      <c r="C26" s="42" t="s">
        <v>516</v>
      </c>
      <c r="D26" s="24" t="s">
        <v>517</v>
      </c>
      <c r="E26" s="20" t="s">
        <v>295</v>
      </c>
      <c r="F26" s="43" t="s">
        <v>518</v>
      </c>
      <c r="G26" s="38" t="s">
        <v>20</v>
      </c>
      <c r="H26" s="38" t="s">
        <v>1</v>
      </c>
      <c r="I26" s="39"/>
      <c r="J26" s="40" t="s">
        <v>1</v>
      </c>
    </row>
    <row r="27" ht="34" customHeight="1" spans="1:10" x14ac:dyDescent="0.25">
      <c r="A27" s="41" t="s">
        <v>975</v>
      </c>
      <c r="B27" s="20" t="s">
        <v>43</v>
      </c>
      <c r="C27" s="42" t="s">
        <v>520</v>
      </c>
      <c r="D27" s="24" t="s">
        <v>521</v>
      </c>
      <c r="E27" s="20" t="s">
        <v>392</v>
      </c>
      <c r="F27" s="43" t="s">
        <v>522</v>
      </c>
      <c r="G27" s="38" t="s">
        <v>20</v>
      </c>
      <c r="H27" s="38" t="s">
        <v>1</v>
      </c>
      <c r="I27" s="39"/>
      <c r="J27" s="40" t="s">
        <v>1</v>
      </c>
    </row>
    <row r="28" ht="34" customHeight="1" spans="1:10" x14ac:dyDescent="0.25">
      <c r="A28" s="41" t="s">
        <v>976</v>
      </c>
      <c r="B28" s="20" t="s">
        <v>43</v>
      </c>
      <c r="C28" s="42" t="s">
        <v>524</v>
      </c>
      <c r="D28" s="24" t="s">
        <v>525</v>
      </c>
      <c r="E28" s="20" t="s">
        <v>392</v>
      </c>
      <c r="F28" s="43" t="s">
        <v>526</v>
      </c>
      <c r="G28" s="38" t="s">
        <v>20</v>
      </c>
      <c r="H28" s="38" t="s">
        <v>1</v>
      </c>
      <c r="I28" s="39"/>
      <c r="J28" s="40" t="s">
        <v>1</v>
      </c>
    </row>
    <row r="29" ht="34" customHeight="1" spans="1:10" x14ac:dyDescent="0.25">
      <c r="A29" s="41" t="s">
        <v>977</v>
      </c>
      <c r="B29" s="20" t="s">
        <v>43</v>
      </c>
      <c r="C29" s="42" t="s">
        <v>893</v>
      </c>
      <c r="D29" s="24" t="s">
        <v>894</v>
      </c>
      <c r="E29" s="20" t="s">
        <v>392</v>
      </c>
      <c r="F29" s="43" t="s">
        <v>895</v>
      </c>
      <c r="G29" s="38" t="s">
        <v>20</v>
      </c>
      <c r="H29" s="38" t="s">
        <v>1</v>
      </c>
      <c r="I29" s="39"/>
      <c r="J29" s="40" t="s">
        <v>1</v>
      </c>
    </row>
    <row r="30" ht="34" customHeight="1" spans="1:10" x14ac:dyDescent="0.25">
      <c r="A30" s="41" t="s">
        <v>978</v>
      </c>
      <c r="B30" s="20" t="s">
        <v>43</v>
      </c>
      <c r="C30" s="42" t="s">
        <v>979</v>
      </c>
      <c r="D30" s="24" t="s">
        <v>980</v>
      </c>
      <c r="E30" s="20" t="s">
        <v>295</v>
      </c>
      <c r="F30" s="43" t="s">
        <v>981</v>
      </c>
      <c r="G30" s="38" t="s">
        <v>20</v>
      </c>
      <c r="H30" s="38" t="s">
        <v>1</v>
      </c>
      <c r="I30" s="39"/>
      <c r="J30" s="40" t="s">
        <v>1</v>
      </c>
    </row>
    <row r="31" ht="48" customHeight="1" spans="1:10" x14ac:dyDescent="0.25">
      <c r="A31" s="41" t="s">
        <v>982</v>
      </c>
      <c r="B31" s="20" t="s">
        <v>45</v>
      </c>
      <c r="C31" s="42" t="s">
        <v>536</v>
      </c>
      <c r="D31" s="24" t="s">
        <v>537</v>
      </c>
      <c r="E31" s="20" t="s">
        <v>295</v>
      </c>
      <c r="F31" s="43" t="s">
        <v>538</v>
      </c>
      <c r="G31" s="38" t="s">
        <v>20</v>
      </c>
      <c r="H31" s="38" t="s">
        <v>1</v>
      </c>
      <c r="I31" s="39"/>
      <c r="J31" s="40" t="s">
        <v>1</v>
      </c>
    </row>
    <row r="32" ht="34" customHeight="1" spans="1:10" x14ac:dyDescent="0.25">
      <c r="A32" s="41" t="s">
        <v>983</v>
      </c>
      <c r="B32" s="20" t="s">
        <v>45</v>
      </c>
      <c r="C32" s="42" t="s">
        <v>540</v>
      </c>
      <c r="D32" s="24" t="s">
        <v>984</v>
      </c>
      <c r="E32" s="20" t="s">
        <v>295</v>
      </c>
      <c r="F32" s="43" t="s">
        <v>542</v>
      </c>
      <c r="G32" s="38" t="s">
        <v>20</v>
      </c>
      <c r="H32" s="38" t="s">
        <v>1</v>
      </c>
      <c r="I32" s="39"/>
      <c r="J32" s="40" t="s">
        <v>1</v>
      </c>
    </row>
    <row r="33" ht="34" customHeight="1" spans="1:10" x14ac:dyDescent="0.25">
      <c r="A33" s="41" t="s">
        <v>985</v>
      </c>
      <c r="B33" s="20" t="s">
        <v>45</v>
      </c>
      <c r="C33" s="42" t="s">
        <v>544</v>
      </c>
      <c r="D33" s="24" t="s">
        <v>545</v>
      </c>
      <c r="E33" s="20" t="s">
        <v>295</v>
      </c>
      <c r="F33" s="43" t="s">
        <v>546</v>
      </c>
      <c r="G33" s="38" t="s">
        <v>20</v>
      </c>
      <c r="H33" s="38" t="s">
        <v>1</v>
      </c>
      <c r="I33" s="39"/>
      <c r="J33" s="40" t="s">
        <v>1</v>
      </c>
    </row>
    <row r="34" ht="34" customHeight="1" spans="1:10" x14ac:dyDescent="0.25">
      <c r="A34" s="41" t="s">
        <v>986</v>
      </c>
      <c r="B34" s="20" t="s">
        <v>45</v>
      </c>
      <c r="C34" s="42" t="s">
        <v>548</v>
      </c>
      <c r="D34" s="24" t="s">
        <v>987</v>
      </c>
      <c r="E34" s="20" t="s">
        <v>550</v>
      </c>
      <c r="F34" s="43" t="s">
        <v>551</v>
      </c>
      <c r="G34" s="38" t="s">
        <v>20</v>
      </c>
      <c r="H34" s="38" t="s">
        <v>1</v>
      </c>
      <c r="I34" s="39"/>
      <c r="J34" s="40" t="s">
        <v>1</v>
      </c>
    </row>
    <row r="35" ht="34" customHeight="1" spans="1:10" x14ac:dyDescent="0.25">
      <c r="A35" s="33" t="s">
        <v>988</v>
      </c>
      <c r="B35" s="34" t="s">
        <v>47</v>
      </c>
      <c r="C35" s="35" t="s">
        <v>289</v>
      </c>
      <c r="D35" s="36" t="s">
        <v>989</v>
      </c>
      <c r="E35" s="34" t="s">
        <v>290</v>
      </c>
      <c r="F35" s="37" t="s">
        <v>291</v>
      </c>
      <c r="G35" s="38" t="s">
        <v>20</v>
      </c>
      <c r="H35" s="38" t="s">
        <v>1</v>
      </c>
      <c r="I35" s="39"/>
      <c r="J35" s="40" t="s">
        <v>1</v>
      </c>
    </row>
    <row r="36" ht="20" customHeight="1" spans="1:10" x14ac:dyDescent="0.25">
      <c r="A36" s="33" t="s">
        <v>990</v>
      </c>
      <c r="B36" s="34" t="s">
        <v>47</v>
      </c>
      <c r="C36" s="35" t="s">
        <v>425</v>
      </c>
      <c r="D36" s="36" t="s">
        <v>720</v>
      </c>
      <c r="E36" s="34" t="s">
        <v>290</v>
      </c>
      <c r="F36" s="37" t="s">
        <v>556</v>
      </c>
      <c r="G36" s="38" t="s">
        <v>20</v>
      </c>
      <c r="H36" s="38" t="s">
        <v>1</v>
      </c>
      <c r="I36" s="39"/>
      <c r="J36" s="40" t="s">
        <v>1</v>
      </c>
    </row>
    <row r="37" ht="34" customHeight="1" spans="1:10" x14ac:dyDescent="0.25">
      <c r="A37" s="33" t="s">
        <v>991</v>
      </c>
      <c r="B37" s="34" t="s">
        <v>47</v>
      </c>
      <c r="C37" s="35" t="s">
        <v>992</v>
      </c>
      <c r="D37" s="36" t="s">
        <v>993</v>
      </c>
      <c r="E37" s="34" t="s">
        <v>295</v>
      </c>
      <c r="F37" s="37" t="s">
        <v>560</v>
      </c>
      <c r="G37" s="38" t="s">
        <v>20</v>
      </c>
      <c r="H37" s="38" t="s">
        <v>1</v>
      </c>
      <c r="I37" s="39"/>
      <c r="J37" s="40" t="s">
        <v>1</v>
      </c>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sheetData>
  <autoFilter ref="A8:J37"/>
  <mergeCells count="6">
    <mergeCell ref="A1:I1"/>
    <mergeCell ref="B2:J2"/>
    <mergeCell ref="B3:J3"/>
    <mergeCell ref="B4:J4"/>
    <mergeCell ref="B5:J5"/>
    <mergeCell ref="A7:J7"/>
  </mergeCells>
  <conditionalFormatting sqref="J6">
    <cfRule type="cellIs" dxfId="122" priority="1" operator="equal">
      <formula>"Done"</formula>
    </cfRule>
    <cfRule type="cellIs" dxfId="123" priority="2" operator="equal">
      <formula>"Complete"</formula>
    </cfRule>
    <cfRule type="cellIs" dxfId="124" priority="3" operator="equal">
      <formula>"In progress"</formula>
    </cfRule>
    <cfRule type="cellIs" dxfId="125" priority="4" operator="equal">
      <formula>"Blocked"</formula>
    </cfRule>
    <cfRule type="cellIs" dxfId="126" priority="5" operator="equal">
      <formula>"N/A"</formula>
    </cfRule>
    <cfRule type="cellIs" dxfId="127" priority="6" operator="equal">
      <formula>"Decided"</formula>
    </cfRule>
    <cfRule type="cellIs" dxfId="128" priority="7" operator="equal">
      <formula>"Open"</formula>
    </cfRule>
  </conditionalFormatting>
  <conditionalFormatting sqref="A7">
    <cfRule type="containsText" dxfId="129" priority="8">
      <formula>NOT(ISERROR(SEARCH("LOCKED",A7)))</formula>
    </cfRule>
    <cfRule type="containsText" dxfId="130" priority="9">
      <formula>NOT(ISERROR(SEARCH("READY",A7)))</formula>
    </cfRule>
  </conditionalFormatting>
  <conditionalFormatting sqref="G9:G400">
    <cfRule type="cellIs" dxfId="131" priority="10" operator="equal">
      <formula>"Done"</formula>
    </cfRule>
    <cfRule type="cellIs" dxfId="132" priority="11" operator="equal">
      <formula>"Complete"</formula>
    </cfRule>
    <cfRule type="cellIs" dxfId="133" priority="12" operator="equal">
      <formula>"In progress"</formula>
    </cfRule>
    <cfRule type="cellIs" dxfId="134" priority="13" operator="equal">
      <formula>"Blocked"</formula>
    </cfRule>
    <cfRule type="cellIs" dxfId="135" priority="14" operator="equal">
      <formula>"N/A"</formula>
    </cfRule>
    <cfRule type="cellIs" dxfId="136" priority="15" operator="equal">
      <formula>"Decided"</formula>
    </cfRule>
    <cfRule type="cellIs" dxfId="137" priority="16" operator="equal">
      <formula>"Open"</formula>
    </cfRule>
  </conditionalFormatting>
  <dataValidations count="4">
    <dataValidation type="list" allowBlank="1" showErrorMessage="1" errorTitle="Status" error="Choose a value from the list." sqref="G10:G52">
      <formula1>"Not started,In progress,Blocked,Done,N/A"</formula1>
    </dataValidation>
    <dataValidation type="list" allowBlank="1" showErrorMessage="1" errorTitle="Status" error="Choose a value from the list." sqref="G9:G52">
      <formula1>"Not started,In progress,Blocked,Done,N/A"</formula1>
    </dataValidation>
    <dataValidation type="date" operator="greaterThan" allowBlank="1" showErrorMessage="1" errorTitle="Date done" error="Enter a date (yyyy-mm-dd)." sqref="I10:I52">
      <formula1>46023</formula1>
    </dataValidation>
    <dataValidation type="date" operator="greaterThan" allowBlank="1" showErrorMessage="1" errorTitle="Date done" error="Enter a date (yyyy-mm-dd)." sqref="I9:I52">
      <formula1>46023</formula1>
    </dataValidation>
  </dataValidations>
  <hyperlinks>
    <hyperlink ref="J1" r:id="rId1" location="#'Dashboard'!A1"/>
  </hyperlinks>
  <pageSetup paperSize="9"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5"/>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994</v>
      </c>
      <c r="B1" s="27"/>
      <c r="C1" s="27"/>
      <c r="D1" s="27"/>
      <c r="E1" s="27"/>
      <c r="F1" s="27"/>
      <c r="G1" s="27"/>
      <c r="H1" s="27"/>
      <c r="I1" s="27"/>
      <c r="J1" s="28" t="s">
        <v>202</v>
      </c>
    </row>
    <row r="2" ht="17" customHeight="1" spans="1:10" x14ac:dyDescent="0.25">
      <c r="A2" s="29" t="s">
        <v>203</v>
      </c>
      <c r="B2" s="6" t="s">
        <v>995</v>
      </c>
      <c r="C2" s="6"/>
      <c r="D2" s="6"/>
      <c r="E2" s="6"/>
      <c r="F2" s="6"/>
      <c r="G2" s="6"/>
      <c r="H2" s="6"/>
      <c r="I2" s="6"/>
      <c r="J2" s="6"/>
    </row>
    <row r="3" ht="17" customHeight="1" spans="1:10" x14ac:dyDescent="0.25">
      <c r="A3" s="29" t="s">
        <v>205</v>
      </c>
      <c r="B3" s="6" t="s">
        <v>996</v>
      </c>
      <c r="C3" s="6"/>
      <c r="D3" s="6"/>
      <c r="E3" s="6"/>
      <c r="F3" s="6"/>
      <c r="G3" s="6"/>
      <c r="H3" s="6"/>
      <c r="I3" s="6"/>
      <c r="J3" s="6"/>
    </row>
    <row r="4" ht="17" customHeight="1" spans="1:10" x14ac:dyDescent="0.25">
      <c r="A4" s="29" t="s">
        <v>207</v>
      </c>
      <c r="B4" s="6" t="s">
        <v>997</v>
      </c>
      <c r="C4" s="6"/>
      <c r="D4" s="6"/>
      <c r="E4" s="6"/>
      <c r="F4" s="6"/>
      <c r="G4" s="6"/>
      <c r="H4" s="6"/>
      <c r="I4" s="6"/>
      <c r="J4" s="6"/>
    </row>
    <row r="5" ht="17" customHeight="1" spans="1:10" x14ac:dyDescent="0.25">
      <c r="A5" s="29" t="s">
        <v>98</v>
      </c>
      <c r="B5" s="2" t="s">
        <v>144</v>
      </c>
      <c r="C5" s="2"/>
      <c r="D5" s="2"/>
      <c r="E5" s="2"/>
      <c r="F5" s="2"/>
      <c r="G5" s="2"/>
      <c r="H5" s="2"/>
      <c r="I5" s="2"/>
      <c r="J5" s="2"/>
    </row>
    <row r="6" spans="1:10" x14ac:dyDescent="0.25">
      <c r="A6" s="17" t="s">
        <v>92</v>
      </c>
      <c r="B6" s="30">
        <f>IF(D6=0,0,F6/D6)</f>
        <v>0</v>
      </c>
      <c r="C6" s="17" t="s">
        <v>91</v>
      </c>
      <c r="D6" s="31">
        <f>COUNTA(C9:C400)</f>
        <v>32</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IF('M08 Assessment'!$B$6=1,"READY: M08 is complete. Work the steps in order, 0 Gate in to 8 Gate out.","LOCKED: finish M08 Assessment first. Do not start work on this sheet.")</f>
        <v>LOCKED: finish M08 Assessment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998</v>
      </c>
      <c r="B9" s="34" t="s">
        <v>31</v>
      </c>
      <c r="C9" s="35" t="s">
        <v>999</v>
      </c>
      <c r="D9" s="36" t="s">
        <v>1000</v>
      </c>
      <c r="E9" s="34" t="s">
        <v>290</v>
      </c>
      <c r="F9" s="37" t="s">
        <v>304</v>
      </c>
      <c r="G9" s="38" t="s">
        <v>20</v>
      </c>
      <c r="H9" s="38" t="s">
        <v>1</v>
      </c>
      <c r="I9" s="39"/>
      <c r="J9" s="40" t="s">
        <v>1</v>
      </c>
    </row>
    <row r="10" ht="34" customHeight="1" spans="1:10" x14ac:dyDescent="0.25">
      <c r="A10" s="33" t="s">
        <v>1001</v>
      </c>
      <c r="B10" s="34" t="s">
        <v>31</v>
      </c>
      <c r="C10" s="35" t="s">
        <v>441</v>
      </c>
      <c r="D10" s="36" t="s">
        <v>1002</v>
      </c>
      <c r="E10" s="34" t="s">
        <v>443</v>
      </c>
      <c r="F10" s="37" t="s">
        <v>444</v>
      </c>
      <c r="G10" s="38" t="s">
        <v>20</v>
      </c>
      <c r="H10" s="38" t="s">
        <v>1</v>
      </c>
      <c r="I10" s="39"/>
      <c r="J10" s="40" t="s">
        <v>1</v>
      </c>
    </row>
    <row r="11" ht="34" customHeight="1" spans="1:10" x14ac:dyDescent="0.25">
      <c r="A11" s="33" t="s">
        <v>1003</v>
      </c>
      <c r="B11" s="34" t="s">
        <v>31</v>
      </c>
      <c r="C11" s="35" t="s">
        <v>306</v>
      </c>
      <c r="D11" s="36" t="s">
        <v>1004</v>
      </c>
      <c r="E11" s="34" t="s">
        <v>308</v>
      </c>
      <c r="F11" s="37" t="s">
        <v>309</v>
      </c>
      <c r="G11" s="38" t="s">
        <v>20</v>
      </c>
      <c r="H11" s="38" t="s">
        <v>1</v>
      </c>
      <c r="I11" s="39"/>
      <c r="J11" s="40" t="s">
        <v>1</v>
      </c>
    </row>
    <row r="12" ht="48" customHeight="1" spans="1:10" x14ac:dyDescent="0.25">
      <c r="A12" s="41" t="s">
        <v>1005</v>
      </c>
      <c r="B12" s="20" t="s">
        <v>33</v>
      </c>
      <c r="C12" s="42" t="s">
        <v>448</v>
      </c>
      <c r="D12" s="24" t="s">
        <v>1006</v>
      </c>
      <c r="E12" s="20" t="s">
        <v>295</v>
      </c>
      <c r="F12" s="43" t="s">
        <v>1007</v>
      </c>
      <c r="G12" s="38" t="s">
        <v>20</v>
      </c>
      <c r="H12" s="38" t="s">
        <v>1</v>
      </c>
      <c r="I12" s="39"/>
      <c r="J12" s="40" t="s">
        <v>1</v>
      </c>
    </row>
    <row r="13" ht="34" customHeight="1" spans="1:10" x14ac:dyDescent="0.25">
      <c r="A13" s="41" t="s">
        <v>1008</v>
      </c>
      <c r="B13" s="20" t="s">
        <v>33</v>
      </c>
      <c r="C13" s="42" t="s">
        <v>452</v>
      </c>
      <c r="D13" s="24" t="s">
        <v>1009</v>
      </c>
      <c r="E13" s="20" t="s">
        <v>295</v>
      </c>
      <c r="F13" s="43" t="s">
        <v>454</v>
      </c>
      <c r="G13" s="38" t="s">
        <v>20</v>
      </c>
      <c r="H13" s="38" t="s">
        <v>1</v>
      </c>
      <c r="I13" s="39"/>
      <c r="J13" s="40" t="s">
        <v>1</v>
      </c>
    </row>
    <row r="14" ht="48" customHeight="1" spans="1:10" x14ac:dyDescent="0.25">
      <c r="A14" s="41" t="s">
        <v>1010</v>
      </c>
      <c r="B14" s="20" t="s">
        <v>33</v>
      </c>
      <c r="C14" s="42" t="s">
        <v>456</v>
      </c>
      <c r="D14" s="24" t="s">
        <v>457</v>
      </c>
      <c r="E14" s="20" t="s">
        <v>295</v>
      </c>
      <c r="F14" s="43" t="s">
        <v>458</v>
      </c>
      <c r="G14" s="38" t="s">
        <v>20</v>
      </c>
      <c r="H14" s="38" t="s">
        <v>1</v>
      </c>
      <c r="I14" s="39"/>
      <c r="J14" s="40" t="s">
        <v>1</v>
      </c>
    </row>
    <row r="15" ht="48" customHeight="1" spans="1:10" x14ac:dyDescent="0.25">
      <c r="A15" s="41" t="s">
        <v>1011</v>
      </c>
      <c r="B15" s="20" t="s">
        <v>33</v>
      </c>
      <c r="C15" s="42" t="s">
        <v>460</v>
      </c>
      <c r="D15" s="24" t="s">
        <v>1012</v>
      </c>
      <c r="E15" s="20" t="s">
        <v>295</v>
      </c>
      <c r="F15" s="43" t="s">
        <v>462</v>
      </c>
      <c r="G15" s="38" t="s">
        <v>20</v>
      </c>
      <c r="H15" s="38" t="s">
        <v>1</v>
      </c>
      <c r="I15" s="39"/>
      <c r="J15" s="40" t="s">
        <v>1</v>
      </c>
    </row>
    <row r="16" ht="34" customHeight="1" spans="1:10" x14ac:dyDescent="0.25">
      <c r="A16" s="41" t="s">
        <v>1013</v>
      </c>
      <c r="B16" s="20" t="s">
        <v>35</v>
      </c>
      <c r="C16" s="42" t="s">
        <v>1014</v>
      </c>
      <c r="D16" s="24" t="s">
        <v>1015</v>
      </c>
      <c r="E16" s="20" t="s">
        <v>295</v>
      </c>
      <c r="F16" s="43" t="s">
        <v>1016</v>
      </c>
      <c r="G16" s="38" t="s">
        <v>20</v>
      </c>
      <c r="H16" s="38" t="s">
        <v>1</v>
      </c>
      <c r="I16" s="39"/>
      <c r="J16" s="40" t="s">
        <v>1</v>
      </c>
    </row>
    <row r="17" ht="34" customHeight="1" spans="1:10" x14ac:dyDescent="0.25">
      <c r="A17" s="41" t="s">
        <v>1017</v>
      </c>
      <c r="B17" s="20" t="s">
        <v>35</v>
      </c>
      <c r="C17" s="42" t="s">
        <v>1018</v>
      </c>
      <c r="D17" s="24" t="s">
        <v>1019</v>
      </c>
      <c r="E17" s="20" t="s">
        <v>359</v>
      </c>
      <c r="F17" s="43" t="s">
        <v>1020</v>
      </c>
      <c r="G17" s="38" t="s">
        <v>20</v>
      </c>
      <c r="H17" s="38" t="s">
        <v>1</v>
      </c>
      <c r="I17" s="39"/>
      <c r="J17" s="40" t="s">
        <v>1</v>
      </c>
    </row>
    <row r="18" ht="34" customHeight="1" spans="1:10" x14ac:dyDescent="0.25">
      <c r="A18" s="41" t="s">
        <v>1021</v>
      </c>
      <c r="B18" s="20" t="s">
        <v>35</v>
      </c>
      <c r="C18" s="42" t="s">
        <v>1022</v>
      </c>
      <c r="D18" s="24" t="s">
        <v>1023</v>
      </c>
      <c r="E18" s="20" t="s">
        <v>295</v>
      </c>
      <c r="F18" s="43" t="s">
        <v>1024</v>
      </c>
      <c r="G18" s="38" t="s">
        <v>20</v>
      </c>
      <c r="H18" s="38" t="s">
        <v>1</v>
      </c>
      <c r="I18" s="39"/>
      <c r="J18" s="40" t="s">
        <v>1</v>
      </c>
    </row>
    <row r="19" ht="34" customHeight="1" spans="1:10" x14ac:dyDescent="0.25">
      <c r="A19" s="41" t="s">
        <v>1025</v>
      </c>
      <c r="B19" s="20" t="s">
        <v>35</v>
      </c>
      <c r="C19" s="42" t="s">
        <v>1026</v>
      </c>
      <c r="D19" s="24" t="s">
        <v>1027</v>
      </c>
      <c r="E19" s="20" t="s">
        <v>295</v>
      </c>
      <c r="F19" s="43" t="s">
        <v>1028</v>
      </c>
      <c r="G19" s="38" t="s">
        <v>20</v>
      </c>
      <c r="H19" s="38" t="s">
        <v>1</v>
      </c>
      <c r="I19" s="39"/>
      <c r="J19" s="40" t="s">
        <v>1</v>
      </c>
    </row>
    <row r="20" ht="34" customHeight="1" spans="1:10" x14ac:dyDescent="0.25">
      <c r="A20" s="41" t="s">
        <v>1029</v>
      </c>
      <c r="B20" s="20" t="s">
        <v>35</v>
      </c>
      <c r="C20" s="42" t="s">
        <v>1030</v>
      </c>
      <c r="D20" s="24" t="s">
        <v>1031</v>
      </c>
      <c r="E20" s="20" t="s">
        <v>295</v>
      </c>
      <c r="F20" s="43" t="s">
        <v>1032</v>
      </c>
      <c r="G20" s="38" t="s">
        <v>20</v>
      </c>
      <c r="H20" s="38" t="s">
        <v>1</v>
      </c>
      <c r="I20" s="39"/>
      <c r="J20" s="40" t="s">
        <v>1</v>
      </c>
    </row>
    <row r="21" ht="34" customHeight="1" spans="1:10" x14ac:dyDescent="0.25">
      <c r="A21" s="41" t="s">
        <v>1033</v>
      </c>
      <c r="B21" s="20" t="s">
        <v>35</v>
      </c>
      <c r="C21" s="42" t="s">
        <v>1034</v>
      </c>
      <c r="D21" s="24" t="s">
        <v>1035</v>
      </c>
      <c r="E21" s="20" t="s">
        <v>295</v>
      </c>
      <c r="F21" s="43" t="s">
        <v>1036</v>
      </c>
      <c r="G21" s="38" t="s">
        <v>20</v>
      </c>
      <c r="H21" s="38" t="s">
        <v>1</v>
      </c>
      <c r="I21" s="39"/>
      <c r="J21" s="40" t="s">
        <v>1</v>
      </c>
    </row>
    <row r="22" ht="34" customHeight="1" spans="1:10" x14ac:dyDescent="0.25">
      <c r="A22" s="41" t="s">
        <v>1037</v>
      </c>
      <c r="B22" s="20" t="s">
        <v>35</v>
      </c>
      <c r="C22" s="42" t="s">
        <v>1038</v>
      </c>
      <c r="D22" s="24" t="s">
        <v>1039</v>
      </c>
      <c r="E22" s="20" t="s">
        <v>295</v>
      </c>
      <c r="F22" s="43" t="s">
        <v>1040</v>
      </c>
      <c r="G22" s="38" t="s">
        <v>20</v>
      </c>
      <c r="H22" s="38" t="s">
        <v>1</v>
      </c>
      <c r="I22" s="39"/>
      <c r="J22" s="40" t="s">
        <v>1</v>
      </c>
    </row>
    <row r="23" ht="20" customHeight="1" spans="1:10" x14ac:dyDescent="0.25">
      <c r="A23" s="41" t="s">
        <v>1041</v>
      </c>
      <c r="B23" s="20" t="s">
        <v>37</v>
      </c>
      <c r="C23" s="42" t="s">
        <v>1042</v>
      </c>
      <c r="D23" s="24" t="s">
        <v>1043</v>
      </c>
      <c r="E23" s="20" t="s">
        <v>295</v>
      </c>
      <c r="F23" s="43" t="s">
        <v>610</v>
      </c>
      <c r="G23" s="38" t="s">
        <v>20</v>
      </c>
      <c r="H23" s="38" t="s">
        <v>1</v>
      </c>
      <c r="I23" s="39"/>
      <c r="J23" s="40" t="s">
        <v>1</v>
      </c>
    </row>
    <row r="24" ht="34" customHeight="1" spans="1:10" x14ac:dyDescent="0.25">
      <c r="A24" s="41" t="s">
        <v>1044</v>
      </c>
      <c r="B24" s="20" t="s">
        <v>37</v>
      </c>
      <c r="C24" s="42" t="s">
        <v>1045</v>
      </c>
      <c r="D24" s="24" t="s">
        <v>1046</v>
      </c>
      <c r="E24" s="20" t="s">
        <v>295</v>
      </c>
      <c r="F24" s="43" t="s">
        <v>618</v>
      </c>
      <c r="G24" s="38" t="s">
        <v>20</v>
      </c>
      <c r="H24" s="38" t="s">
        <v>1</v>
      </c>
      <c r="I24" s="39"/>
      <c r="J24" s="40" t="s">
        <v>1</v>
      </c>
    </row>
    <row r="25" ht="34" customHeight="1" spans="1:10" x14ac:dyDescent="0.25">
      <c r="A25" s="41" t="s">
        <v>1047</v>
      </c>
      <c r="B25" s="20" t="s">
        <v>37</v>
      </c>
      <c r="C25" s="42" t="s">
        <v>1048</v>
      </c>
      <c r="D25" s="24" t="s">
        <v>1049</v>
      </c>
      <c r="E25" s="20" t="s">
        <v>295</v>
      </c>
      <c r="F25" s="43" t="s">
        <v>1050</v>
      </c>
      <c r="G25" s="38" t="s">
        <v>20</v>
      </c>
      <c r="H25" s="38" t="s">
        <v>1</v>
      </c>
      <c r="I25" s="39"/>
      <c r="J25" s="40" t="s">
        <v>1</v>
      </c>
    </row>
    <row r="26" ht="20" customHeight="1" spans="1:10" x14ac:dyDescent="0.25">
      <c r="A26" s="41" t="s">
        <v>1051</v>
      </c>
      <c r="B26" s="20" t="s">
        <v>39</v>
      </c>
      <c r="C26" s="42" t="s">
        <v>1052</v>
      </c>
      <c r="D26" s="24" t="s">
        <v>1053</v>
      </c>
      <c r="E26" s="20" t="s">
        <v>295</v>
      </c>
      <c r="F26" s="43" t="s">
        <v>876</v>
      </c>
      <c r="G26" s="38" t="s">
        <v>20</v>
      </c>
      <c r="H26" s="38" t="s">
        <v>1</v>
      </c>
      <c r="I26" s="39"/>
      <c r="J26" s="40" t="s">
        <v>1</v>
      </c>
    </row>
    <row r="27" ht="34" customHeight="1" spans="1:10" x14ac:dyDescent="0.25">
      <c r="A27" s="41" t="s">
        <v>1054</v>
      </c>
      <c r="B27" s="20" t="s">
        <v>41</v>
      </c>
      <c r="C27" s="42" t="s">
        <v>1055</v>
      </c>
      <c r="D27" s="24" t="s">
        <v>1056</v>
      </c>
      <c r="E27" s="20" t="s">
        <v>264</v>
      </c>
      <c r="F27" s="43" t="s">
        <v>1057</v>
      </c>
      <c r="G27" s="38" t="s">
        <v>20</v>
      </c>
      <c r="H27" s="38" t="s">
        <v>1</v>
      </c>
      <c r="I27" s="39"/>
      <c r="J27" s="40" t="s">
        <v>1</v>
      </c>
    </row>
    <row r="28" ht="34" customHeight="1" spans="1:10" x14ac:dyDescent="0.25">
      <c r="A28" s="41" t="s">
        <v>1058</v>
      </c>
      <c r="B28" s="20" t="s">
        <v>41</v>
      </c>
      <c r="C28" s="42" t="s">
        <v>1059</v>
      </c>
      <c r="D28" s="24" t="s">
        <v>1060</v>
      </c>
      <c r="E28" s="20" t="s">
        <v>264</v>
      </c>
      <c r="F28" s="43" t="s">
        <v>1061</v>
      </c>
      <c r="G28" s="38" t="s">
        <v>20</v>
      </c>
      <c r="H28" s="38" t="s">
        <v>1</v>
      </c>
      <c r="I28" s="39"/>
      <c r="J28" s="40" t="s">
        <v>1</v>
      </c>
    </row>
    <row r="29" ht="34" customHeight="1" spans="1:10" x14ac:dyDescent="0.25">
      <c r="A29" s="41" t="s">
        <v>1062</v>
      </c>
      <c r="B29" s="20" t="s">
        <v>43</v>
      </c>
      <c r="C29" s="42" t="s">
        <v>516</v>
      </c>
      <c r="D29" s="24" t="s">
        <v>517</v>
      </c>
      <c r="E29" s="20" t="s">
        <v>295</v>
      </c>
      <c r="F29" s="43" t="s">
        <v>518</v>
      </c>
      <c r="G29" s="38" t="s">
        <v>20</v>
      </c>
      <c r="H29" s="38" t="s">
        <v>1</v>
      </c>
      <c r="I29" s="39"/>
      <c r="J29" s="40" t="s">
        <v>1</v>
      </c>
    </row>
    <row r="30" ht="34" customHeight="1" spans="1:10" x14ac:dyDescent="0.25">
      <c r="A30" s="41" t="s">
        <v>1063</v>
      </c>
      <c r="B30" s="20" t="s">
        <v>43</v>
      </c>
      <c r="C30" s="42" t="s">
        <v>520</v>
      </c>
      <c r="D30" s="24" t="s">
        <v>521</v>
      </c>
      <c r="E30" s="20" t="s">
        <v>392</v>
      </c>
      <c r="F30" s="43" t="s">
        <v>522</v>
      </c>
      <c r="G30" s="38" t="s">
        <v>20</v>
      </c>
      <c r="H30" s="38" t="s">
        <v>1</v>
      </c>
      <c r="I30" s="39"/>
      <c r="J30" s="40" t="s">
        <v>1</v>
      </c>
    </row>
    <row r="31" ht="34" customHeight="1" spans="1:10" x14ac:dyDescent="0.25">
      <c r="A31" s="41" t="s">
        <v>1064</v>
      </c>
      <c r="B31" s="20" t="s">
        <v>43</v>
      </c>
      <c r="C31" s="42" t="s">
        <v>524</v>
      </c>
      <c r="D31" s="24" t="s">
        <v>525</v>
      </c>
      <c r="E31" s="20" t="s">
        <v>392</v>
      </c>
      <c r="F31" s="43" t="s">
        <v>526</v>
      </c>
      <c r="G31" s="38" t="s">
        <v>20</v>
      </c>
      <c r="H31" s="38" t="s">
        <v>1</v>
      </c>
      <c r="I31" s="39"/>
      <c r="J31" s="40" t="s">
        <v>1</v>
      </c>
    </row>
    <row r="32" ht="34" customHeight="1" spans="1:10" x14ac:dyDescent="0.25">
      <c r="A32" s="41" t="s">
        <v>1065</v>
      </c>
      <c r="B32" s="20" t="s">
        <v>43</v>
      </c>
      <c r="C32" s="42" t="s">
        <v>893</v>
      </c>
      <c r="D32" s="24" t="s">
        <v>894</v>
      </c>
      <c r="E32" s="20" t="s">
        <v>392</v>
      </c>
      <c r="F32" s="43" t="s">
        <v>895</v>
      </c>
      <c r="G32" s="38" t="s">
        <v>20</v>
      </c>
      <c r="H32" s="38" t="s">
        <v>1</v>
      </c>
      <c r="I32" s="39"/>
      <c r="J32" s="40" t="s">
        <v>1</v>
      </c>
    </row>
    <row r="33" ht="34" customHeight="1" spans="1:10" x14ac:dyDescent="0.25">
      <c r="A33" s="41" t="s">
        <v>1066</v>
      </c>
      <c r="B33" s="20" t="s">
        <v>43</v>
      </c>
      <c r="C33" s="42" t="s">
        <v>1067</v>
      </c>
      <c r="D33" s="24" t="s">
        <v>1068</v>
      </c>
      <c r="E33" s="20" t="s">
        <v>392</v>
      </c>
      <c r="F33" s="43" t="s">
        <v>1069</v>
      </c>
      <c r="G33" s="38" t="s">
        <v>20</v>
      </c>
      <c r="H33" s="38" t="s">
        <v>1</v>
      </c>
      <c r="I33" s="39"/>
      <c r="J33" s="40" t="s">
        <v>1</v>
      </c>
    </row>
    <row r="34" ht="48" customHeight="1" spans="1:10" x14ac:dyDescent="0.25">
      <c r="A34" s="41" t="s">
        <v>1070</v>
      </c>
      <c r="B34" s="20" t="s">
        <v>45</v>
      </c>
      <c r="C34" s="42" t="s">
        <v>536</v>
      </c>
      <c r="D34" s="24" t="s">
        <v>537</v>
      </c>
      <c r="E34" s="20" t="s">
        <v>295</v>
      </c>
      <c r="F34" s="43" t="s">
        <v>538</v>
      </c>
      <c r="G34" s="38" t="s">
        <v>20</v>
      </c>
      <c r="H34" s="38" t="s">
        <v>1</v>
      </c>
      <c r="I34" s="39"/>
      <c r="J34" s="40" t="s">
        <v>1</v>
      </c>
    </row>
    <row r="35" ht="34" customHeight="1" spans="1:10" x14ac:dyDescent="0.25">
      <c r="A35" s="41" t="s">
        <v>1071</v>
      </c>
      <c r="B35" s="20" t="s">
        <v>45</v>
      </c>
      <c r="C35" s="42" t="s">
        <v>540</v>
      </c>
      <c r="D35" s="24" t="s">
        <v>1072</v>
      </c>
      <c r="E35" s="20" t="s">
        <v>295</v>
      </c>
      <c r="F35" s="43" t="s">
        <v>542</v>
      </c>
      <c r="G35" s="38" t="s">
        <v>20</v>
      </c>
      <c r="H35" s="38" t="s">
        <v>1</v>
      </c>
      <c r="I35" s="39"/>
      <c r="J35" s="40" t="s">
        <v>1</v>
      </c>
    </row>
    <row r="36" ht="34" customHeight="1" spans="1:10" x14ac:dyDescent="0.25">
      <c r="A36" s="41" t="s">
        <v>1073</v>
      </c>
      <c r="B36" s="20" t="s">
        <v>45</v>
      </c>
      <c r="C36" s="42" t="s">
        <v>544</v>
      </c>
      <c r="D36" s="24" t="s">
        <v>545</v>
      </c>
      <c r="E36" s="20" t="s">
        <v>295</v>
      </c>
      <c r="F36" s="43" t="s">
        <v>546</v>
      </c>
      <c r="G36" s="38" t="s">
        <v>20</v>
      </c>
      <c r="H36" s="38" t="s">
        <v>1</v>
      </c>
      <c r="I36" s="39"/>
      <c r="J36" s="40" t="s">
        <v>1</v>
      </c>
    </row>
    <row r="37" ht="34" customHeight="1" spans="1:10" x14ac:dyDescent="0.25">
      <c r="A37" s="41" t="s">
        <v>1074</v>
      </c>
      <c r="B37" s="20" t="s">
        <v>45</v>
      </c>
      <c r="C37" s="42" t="s">
        <v>548</v>
      </c>
      <c r="D37" s="24" t="s">
        <v>1075</v>
      </c>
      <c r="E37" s="20" t="s">
        <v>550</v>
      </c>
      <c r="F37" s="43" t="s">
        <v>551</v>
      </c>
      <c r="G37" s="38" t="s">
        <v>20</v>
      </c>
      <c r="H37" s="38" t="s">
        <v>1</v>
      </c>
      <c r="I37" s="39"/>
      <c r="J37" s="40" t="s">
        <v>1</v>
      </c>
    </row>
    <row r="38" ht="48" customHeight="1" spans="1:10" x14ac:dyDescent="0.25">
      <c r="A38" s="33" t="s">
        <v>1076</v>
      </c>
      <c r="B38" s="34" t="s">
        <v>47</v>
      </c>
      <c r="C38" s="35" t="s">
        <v>289</v>
      </c>
      <c r="D38" s="36" t="s">
        <v>1077</v>
      </c>
      <c r="E38" s="34" t="s">
        <v>290</v>
      </c>
      <c r="F38" s="37" t="s">
        <v>291</v>
      </c>
      <c r="G38" s="38" t="s">
        <v>20</v>
      </c>
      <c r="H38" s="38" t="s">
        <v>1</v>
      </c>
      <c r="I38" s="39"/>
      <c r="J38" s="40" t="s">
        <v>1</v>
      </c>
    </row>
    <row r="39" ht="34" customHeight="1" spans="1:10" x14ac:dyDescent="0.25">
      <c r="A39" s="33" t="s">
        <v>1078</v>
      </c>
      <c r="B39" s="34" t="s">
        <v>47</v>
      </c>
      <c r="C39" s="35" t="s">
        <v>425</v>
      </c>
      <c r="D39" s="36" t="s">
        <v>647</v>
      </c>
      <c r="E39" s="34" t="s">
        <v>648</v>
      </c>
      <c r="F39" s="37" t="s">
        <v>556</v>
      </c>
      <c r="G39" s="38" t="s">
        <v>20</v>
      </c>
      <c r="H39" s="38" t="s">
        <v>1</v>
      </c>
      <c r="I39" s="39"/>
      <c r="J39" s="40" t="s">
        <v>1</v>
      </c>
    </row>
    <row r="40" ht="34" customHeight="1" spans="1:10" x14ac:dyDescent="0.25">
      <c r="A40" s="33" t="s">
        <v>1079</v>
      </c>
      <c r="B40" s="34" t="s">
        <v>47</v>
      </c>
      <c r="C40" s="35" t="s">
        <v>1080</v>
      </c>
      <c r="D40" s="36" t="s">
        <v>1081</v>
      </c>
      <c r="E40" s="34" t="s">
        <v>295</v>
      </c>
      <c r="F40" s="37" t="s">
        <v>560</v>
      </c>
      <c r="G40" s="38" t="s">
        <v>20</v>
      </c>
      <c r="H40" s="38" t="s">
        <v>1</v>
      </c>
      <c r="I40" s="39"/>
      <c r="J40" s="40" t="s">
        <v>1</v>
      </c>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sheetData>
  <autoFilter ref="A8:J40"/>
  <mergeCells count="6">
    <mergeCell ref="A1:I1"/>
    <mergeCell ref="B2:J2"/>
    <mergeCell ref="B3:J3"/>
    <mergeCell ref="B4:J4"/>
    <mergeCell ref="B5:J5"/>
    <mergeCell ref="A7:J7"/>
  </mergeCells>
  <conditionalFormatting sqref="J6">
    <cfRule type="cellIs" dxfId="138" priority="1" operator="equal">
      <formula>"Done"</formula>
    </cfRule>
    <cfRule type="cellIs" dxfId="139" priority="2" operator="equal">
      <formula>"Complete"</formula>
    </cfRule>
    <cfRule type="cellIs" dxfId="140" priority="3" operator="equal">
      <formula>"In progress"</formula>
    </cfRule>
    <cfRule type="cellIs" dxfId="141" priority="4" operator="equal">
      <formula>"Blocked"</formula>
    </cfRule>
    <cfRule type="cellIs" dxfId="142" priority="5" operator="equal">
      <formula>"N/A"</formula>
    </cfRule>
    <cfRule type="cellIs" dxfId="143" priority="6" operator="equal">
      <formula>"Decided"</formula>
    </cfRule>
    <cfRule type="cellIs" dxfId="144" priority="7" operator="equal">
      <formula>"Open"</formula>
    </cfRule>
  </conditionalFormatting>
  <conditionalFormatting sqref="A7">
    <cfRule type="containsText" dxfId="145" priority="8">
      <formula>NOT(ISERROR(SEARCH("LOCKED",A7)))</formula>
    </cfRule>
    <cfRule type="containsText" dxfId="146" priority="9">
      <formula>NOT(ISERROR(SEARCH("READY",A7)))</formula>
    </cfRule>
  </conditionalFormatting>
  <conditionalFormatting sqref="G9:G400">
    <cfRule type="cellIs" dxfId="147" priority="10" operator="equal">
      <formula>"Done"</formula>
    </cfRule>
    <cfRule type="cellIs" dxfId="148" priority="11" operator="equal">
      <formula>"Complete"</formula>
    </cfRule>
    <cfRule type="cellIs" dxfId="149" priority="12" operator="equal">
      <formula>"In progress"</formula>
    </cfRule>
    <cfRule type="cellIs" dxfId="150" priority="13" operator="equal">
      <formula>"Blocked"</formula>
    </cfRule>
    <cfRule type="cellIs" dxfId="151" priority="14" operator="equal">
      <formula>"N/A"</formula>
    </cfRule>
    <cfRule type="cellIs" dxfId="152" priority="15" operator="equal">
      <formula>"Decided"</formula>
    </cfRule>
    <cfRule type="cellIs" dxfId="153" priority="16" operator="equal">
      <formula>"Open"</formula>
    </cfRule>
  </conditionalFormatting>
  <dataValidations count="4">
    <dataValidation type="list" allowBlank="1" showErrorMessage="1" errorTitle="Status" error="Choose a value from the list." sqref="G10:G55">
      <formula1>"Not started,In progress,Blocked,Done,N/A"</formula1>
    </dataValidation>
    <dataValidation type="list" allowBlank="1" showErrorMessage="1" errorTitle="Status" error="Choose a value from the list." sqref="G9:G55">
      <formula1>"Not started,In progress,Blocked,Done,N/A"</formula1>
    </dataValidation>
    <dataValidation type="date" operator="greaterThan" allowBlank="1" showErrorMessage="1" errorTitle="Date done" error="Enter a date (yyyy-mm-dd)." sqref="I10:I55">
      <formula1>46023</formula1>
    </dataValidation>
    <dataValidation type="date" operator="greaterThan" allowBlank="1" showErrorMessage="1" errorTitle="Date done" error="Enter a date (yyyy-mm-dd)." sqref="I9:I55">
      <formula1>46023</formula1>
    </dataValidation>
  </dataValidations>
  <hyperlinks>
    <hyperlink ref="J1" r:id="rId1" location="#'Dashboard'!A1"/>
  </hyperlinks>
  <pageSetup paperSize="9"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5"/>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1082</v>
      </c>
      <c r="B1" s="27"/>
      <c r="C1" s="27"/>
      <c r="D1" s="27"/>
      <c r="E1" s="27"/>
      <c r="F1" s="27"/>
      <c r="G1" s="27"/>
      <c r="H1" s="27"/>
      <c r="I1" s="27"/>
      <c r="J1" s="28" t="s">
        <v>202</v>
      </c>
    </row>
    <row r="2" ht="17" customHeight="1" spans="1:10" x14ac:dyDescent="0.25">
      <c r="A2" s="29" t="s">
        <v>203</v>
      </c>
      <c r="B2" s="6" t="s">
        <v>1083</v>
      </c>
      <c r="C2" s="6"/>
      <c r="D2" s="6"/>
      <c r="E2" s="6"/>
      <c r="F2" s="6"/>
      <c r="G2" s="6"/>
      <c r="H2" s="6"/>
      <c r="I2" s="6"/>
      <c r="J2" s="6"/>
    </row>
    <row r="3" ht="17" customHeight="1" spans="1:10" x14ac:dyDescent="0.25">
      <c r="A3" s="29" t="s">
        <v>205</v>
      </c>
      <c r="B3" s="6" t="s">
        <v>1084</v>
      </c>
      <c r="C3" s="6"/>
      <c r="D3" s="6"/>
      <c r="E3" s="6"/>
      <c r="F3" s="6"/>
      <c r="G3" s="6"/>
      <c r="H3" s="6"/>
      <c r="I3" s="6"/>
      <c r="J3" s="6"/>
    </row>
    <row r="4" ht="17" customHeight="1" spans="1:10" x14ac:dyDescent="0.25">
      <c r="A4" s="29" t="s">
        <v>207</v>
      </c>
      <c r="B4" s="6" t="s">
        <v>1085</v>
      </c>
      <c r="C4" s="6"/>
      <c r="D4" s="6"/>
      <c r="E4" s="6"/>
      <c r="F4" s="6"/>
      <c r="G4" s="6"/>
      <c r="H4" s="6"/>
      <c r="I4" s="6"/>
      <c r="J4" s="6"/>
    </row>
    <row r="5" ht="17" customHeight="1" spans="1:10" x14ac:dyDescent="0.25">
      <c r="A5" s="29" t="s">
        <v>98</v>
      </c>
      <c r="B5" s="2" t="s">
        <v>149</v>
      </c>
      <c r="C5" s="2"/>
      <c r="D5" s="2"/>
      <c r="E5" s="2"/>
      <c r="F5" s="2"/>
      <c r="G5" s="2"/>
      <c r="H5" s="2"/>
      <c r="I5" s="2"/>
      <c r="J5" s="2"/>
    </row>
    <row r="6" spans="1:10" x14ac:dyDescent="0.25">
      <c r="A6" s="17" t="s">
        <v>92</v>
      </c>
      <c r="B6" s="30">
        <f>IF(D6=0,0,F6/D6)</f>
        <v>0</v>
      </c>
      <c r="C6" s="17" t="s">
        <v>91</v>
      </c>
      <c r="D6" s="31">
        <f>COUNTA(C9:C400)</f>
        <v>32</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IF('M09 Care Plan'!$B$6=1,"READY: M09 is complete. Work the steps in order, 0 Gate in to 8 Gate out.","LOCKED: finish M09 Care Plan first. Do not start work on this sheet.")</f>
        <v>LOCKED: finish M09 Care Plan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1086</v>
      </c>
      <c r="B9" s="34" t="s">
        <v>31</v>
      </c>
      <c r="C9" s="35" t="s">
        <v>1087</v>
      </c>
      <c r="D9" s="36" t="s">
        <v>1088</v>
      </c>
      <c r="E9" s="34" t="s">
        <v>290</v>
      </c>
      <c r="F9" s="37" t="s">
        <v>304</v>
      </c>
      <c r="G9" s="38" t="s">
        <v>20</v>
      </c>
      <c r="H9" s="38" t="s">
        <v>1</v>
      </c>
      <c r="I9" s="39"/>
      <c r="J9" s="40" t="s">
        <v>1</v>
      </c>
    </row>
    <row r="10" ht="34" customHeight="1" spans="1:10" x14ac:dyDescent="0.25">
      <c r="A10" s="33" t="s">
        <v>1089</v>
      </c>
      <c r="B10" s="34" t="s">
        <v>31</v>
      </c>
      <c r="C10" s="35" t="s">
        <v>441</v>
      </c>
      <c r="D10" s="36" t="s">
        <v>1090</v>
      </c>
      <c r="E10" s="34" t="s">
        <v>443</v>
      </c>
      <c r="F10" s="37" t="s">
        <v>444</v>
      </c>
      <c r="G10" s="38" t="s">
        <v>20</v>
      </c>
      <c r="H10" s="38" t="s">
        <v>1</v>
      </c>
      <c r="I10" s="39"/>
      <c r="J10" s="40" t="s">
        <v>1</v>
      </c>
    </row>
    <row r="11" ht="34" customHeight="1" spans="1:10" x14ac:dyDescent="0.25">
      <c r="A11" s="33" t="s">
        <v>1091</v>
      </c>
      <c r="B11" s="34" t="s">
        <v>31</v>
      </c>
      <c r="C11" s="35" t="s">
        <v>306</v>
      </c>
      <c r="D11" s="36" t="s">
        <v>1092</v>
      </c>
      <c r="E11" s="34" t="s">
        <v>308</v>
      </c>
      <c r="F11" s="37" t="s">
        <v>309</v>
      </c>
      <c r="G11" s="38" t="s">
        <v>20</v>
      </c>
      <c r="H11" s="38" t="s">
        <v>1</v>
      </c>
      <c r="I11" s="39"/>
      <c r="J11" s="40" t="s">
        <v>1</v>
      </c>
    </row>
    <row r="12" ht="62" customHeight="1" spans="1:10" x14ac:dyDescent="0.25">
      <c r="A12" s="41" t="s">
        <v>1093</v>
      </c>
      <c r="B12" s="20" t="s">
        <v>33</v>
      </c>
      <c r="C12" s="42" t="s">
        <v>448</v>
      </c>
      <c r="D12" s="24" t="s">
        <v>1094</v>
      </c>
      <c r="E12" s="20" t="s">
        <v>295</v>
      </c>
      <c r="F12" s="43" t="s">
        <v>1095</v>
      </c>
      <c r="G12" s="38" t="s">
        <v>20</v>
      </c>
      <c r="H12" s="38" t="s">
        <v>1</v>
      </c>
      <c r="I12" s="39"/>
      <c r="J12" s="40" t="s">
        <v>1</v>
      </c>
    </row>
    <row r="13" ht="34" customHeight="1" spans="1:10" x14ac:dyDescent="0.25">
      <c r="A13" s="41" t="s">
        <v>1096</v>
      </c>
      <c r="B13" s="20" t="s">
        <v>33</v>
      </c>
      <c r="C13" s="42" t="s">
        <v>452</v>
      </c>
      <c r="D13" s="24" t="s">
        <v>1097</v>
      </c>
      <c r="E13" s="20" t="s">
        <v>295</v>
      </c>
      <c r="F13" s="43" t="s">
        <v>454</v>
      </c>
      <c r="G13" s="38" t="s">
        <v>20</v>
      </c>
      <c r="H13" s="38" t="s">
        <v>1</v>
      </c>
      <c r="I13" s="39"/>
      <c r="J13" s="40" t="s">
        <v>1</v>
      </c>
    </row>
    <row r="14" ht="48" customHeight="1" spans="1:10" x14ac:dyDescent="0.25">
      <c r="A14" s="41" t="s">
        <v>1098</v>
      </c>
      <c r="B14" s="20" t="s">
        <v>33</v>
      </c>
      <c r="C14" s="42" t="s">
        <v>456</v>
      </c>
      <c r="D14" s="24" t="s">
        <v>457</v>
      </c>
      <c r="E14" s="20" t="s">
        <v>295</v>
      </c>
      <c r="F14" s="43" t="s">
        <v>458</v>
      </c>
      <c r="G14" s="38" t="s">
        <v>20</v>
      </c>
      <c r="H14" s="38" t="s">
        <v>1</v>
      </c>
      <c r="I14" s="39"/>
      <c r="J14" s="40" t="s">
        <v>1</v>
      </c>
    </row>
    <row r="15" ht="48" customHeight="1" spans="1:10" x14ac:dyDescent="0.25">
      <c r="A15" s="41" t="s">
        <v>1099</v>
      </c>
      <c r="B15" s="20" t="s">
        <v>33</v>
      </c>
      <c r="C15" s="42" t="s">
        <v>460</v>
      </c>
      <c r="D15" s="24" t="s">
        <v>1100</v>
      </c>
      <c r="E15" s="20" t="s">
        <v>295</v>
      </c>
      <c r="F15" s="43" t="s">
        <v>462</v>
      </c>
      <c r="G15" s="38" t="s">
        <v>20</v>
      </c>
      <c r="H15" s="38" t="s">
        <v>1</v>
      </c>
      <c r="I15" s="39"/>
      <c r="J15" s="40" t="s">
        <v>1</v>
      </c>
    </row>
    <row r="16" ht="34" customHeight="1" spans="1:10" x14ac:dyDescent="0.25">
      <c r="A16" s="41" t="s">
        <v>1101</v>
      </c>
      <c r="B16" s="20" t="s">
        <v>35</v>
      </c>
      <c r="C16" s="42" t="s">
        <v>1102</v>
      </c>
      <c r="D16" s="24" t="s">
        <v>1103</v>
      </c>
      <c r="E16" s="20" t="s">
        <v>295</v>
      </c>
      <c r="F16" s="43" t="s">
        <v>1104</v>
      </c>
      <c r="G16" s="38" t="s">
        <v>20</v>
      </c>
      <c r="H16" s="38" t="s">
        <v>1</v>
      </c>
      <c r="I16" s="39"/>
      <c r="J16" s="40" t="s">
        <v>1</v>
      </c>
    </row>
    <row r="17" ht="48" customHeight="1" spans="1:10" x14ac:dyDescent="0.25">
      <c r="A17" s="41" t="s">
        <v>1105</v>
      </c>
      <c r="B17" s="20" t="s">
        <v>35</v>
      </c>
      <c r="C17" s="42" t="s">
        <v>1106</v>
      </c>
      <c r="D17" s="24" t="s">
        <v>1107</v>
      </c>
      <c r="E17" s="20" t="s">
        <v>295</v>
      </c>
      <c r="F17" s="43" t="s">
        <v>1108</v>
      </c>
      <c r="G17" s="38" t="s">
        <v>20</v>
      </c>
      <c r="H17" s="38" t="s">
        <v>1</v>
      </c>
      <c r="I17" s="39"/>
      <c r="J17" s="40" t="s">
        <v>1</v>
      </c>
    </row>
    <row r="18" ht="34" customHeight="1" spans="1:10" x14ac:dyDescent="0.25">
      <c r="A18" s="41" t="s">
        <v>1109</v>
      </c>
      <c r="B18" s="20" t="s">
        <v>35</v>
      </c>
      <c r="C18" s="42" t="s">
        <v>1110</v>
      </c>
      <c r="D18" s="24" t="s">
        <v>1111</v>
      </c>
      <c r="E18" s="20" t="s">
        <v>295</v>
      </c>
      <c r="F18" s="43" t="s">
        <v>1104</v>
      </c>
      <c r="G18" s="38" t="s">
        <v>20</v>
      </c>
      <c r="H18" s="38" t="s">
        <v>1</v>
      </c>
      <c r="I18" s="39"/>
      <c r="J18" s="40" t="s">
        <v>1</v>
      </c>
    </row>
    <row r="19" ht="20" customHeight="1" spans="1:10" x14ac:dyDescent="0.25">
      <c r="A19" s="41" t="s">
        <v>1112</v>
      </c>
      <c r="B19" s="20" t="s">
        <v>35</v>
      </c>
      <c r="C19" s="42" t="s">
        <v>1113</v>
      </c>
      <c r="D19" s="24" t="s">
        <v>1114</v>
      </c>
      <c r="E19" s="20" t="s">
        <v>295</v>
      </c>
      <c r="F19" s="43" t="s">
        <v>1115</v>
      </c>
      <c r="G19" s="38" t="s">
        <v>20</v>
      </c>
      <c r="H19" s="38" t="s">
        <v>1</v>
      </c>
      <c r="I19" s="39"/>
      <c r="J19" s="40" t="s">
        <v>1</v>
      </c>
    </row>
    <row r="20" ht="34" customHeight="1" spans="1:10" x14ac:dyDescent="0.25">
      <c r="A20" s="41" t="s">
        <v>1116</v>
      </c>
      <c r="B20" s="20" t="s">
        <v>35</v>
      </c>
      <c r="C20" s="42" t="s">
        <v>1117</v>
      </c>
      <c r="D20" s="24" t="s">
        <v>1118</v>
      </c>
      <c r="E20" s="20" t="s">
        <v>295</v>
      </c>
      <c r="F20" s="43" t="s">
        <v>1119</v>
      </c>
      <c r="G20" s="38" t="s">
        <v>20</v>
      </c>
      <c r="H20" s="38" t="s">
        <v>1</v>
      </c>
      <c r="I20" s="39"/>
      <c r="J20" s="40" t="s">
        <v>1</v>
      </c>
    </row>
    <row r="21" ht="20" customHeight="1" spans="1:10" x14ac:dyDescent="0.25">
      <c r="A21" s="41" t="s">
        <v>1120</v>
      </c>
      <c r="B21" s="20" t="s">
        <v>35</v>
      </c>
      <c r="C21" s="42" t="s">
        <v>1121</v>
      </c>
      <c r="D21" s="24" t="s">
        <v>1122</v>
      </c>
      <c r="E21" s="20" t="s">
        <v>295</v>
      </c>
      <c r="F21" s="43" t="s">
        <v>1123</v>
      </c>
      <c r="G21" s="38" t="s">
        <v>20</v>
      </c>
      <c r="H21" s="38" t="s">
        <v>1</v>
      </c>
      <c r="I21" s="39"/>
      <c r="J21" s="40" t="s">
        <v>1</v>
      </c>
    </row>
    <row r="22" ht="34" customHeight="1" spans="1:10" x14ac:dyDescent="0.25">
      <c r="A22" s="41" t="s">
        <v>1124</v>
      </c>
      <c r="B22" s="20" t="s">
        <v>35</v>
      </c>
      <c r="C22" s="42" t="s">
        <v>1125</v>
      </c>
      <c r="D22" s="24" t="s">
        <v>1126</v>
      </c>
      <c r="E22" s="20" t="s">
        <v>295</v>
      </c>
      <c r="F22" s="43" t="s">
        <v>1127</v>
      </c>
      <c r="G22" s="38" t="s">
        <v>20</v>
      </c>
      <c r="H22" s="38" t="s">
        <v>1</v>
      </c>
      <c r="I22" s="39"/>
      <c r="J22" s="40" t="s">
        <v>1</v>
      </c>
    </row>
    <row r="23" ht="34" customHeight="1" spans="1:10" x14ac:dyDescent="0.25">
      <c r="A23" s="41" t="s">
        <v>1128</v>
      </c>
      <c r="B23" s="20" t="s">
        <v>35</v>
      </c>
      <c r="C23" s="42" t="s">
        <v>1129</v>
      </c>
      <c r="D23" s="24" t="s">
        <v>1130</v>
      </c>
      <c r="E23" s="20" t="s">
        <v>295</v>
      </c>
      <c r="F23" s="43" t="s">
        <v>1131</v>
      </c>
      <c r="G23" s="38" t="s">
        <v>20</v>
      </c>
      <c r="H23" s="38" t="s">
        <v>1</v>
      </c>
      <c r="I23" s="39"/>
      <c r="J23" s="40" t="s">
        <v>1</v>
      </c>
    </row>
    <row r="24" ht="34" customHeight="1" spans="1:10" x14ac:dyDescent="0.25">
      <c r="A24" s="41" t="s">
        <v>1132</v>
      </c>
      <c r="B24" s="20" t="s">
        <v>37</v>
      </c>
      <c r="C24" s="42" t="s">
        <v>1133</v>
      </c>
      <c r="D24" s="24" t="s">
        <v>1134</v>
      </c>
      <c r="E24" s="20" t="s">
        <v>295</v>
      </c>
      <c r="F24" s="43" t="s">
        <v>1135</v>
      </c>
      <c r="G24" s="38" t="s">
        <v>20</v>
      </c>
      <c r="H24" s="38" t="s">
        <v>1</v>
      </c>
      <c r="I24" s="39"/>
      <c r="J24" s="40" t="s">
        <v>1</v>
      </c>
    </row>
    <row r="25" ht="20" customHeight="1" spans="1:10" x14ac:dyDescent="0.25">
      <c r="A25" s="41" t="s">
        <v>1136</v>
      </c>
      <c r="B25" s="20" t="s">
        <v>37</v>
      </c>
      <c r="C25" s="42" t="s">
        <v>1137</v>
      </c>
      <c r="D25" s="24" t="s">
        <v>1138</v>
      </c>
      <c r="E25" s="20" t="s">
        <v>295</v>
      </c>
      <c r="F25" s="43" t="s">
        <v>618</v>
      </c>
      <c r="G25" s="38" t="s">
        <v>20</v>
      </c>
      <c r="H25" s="38" t="s">
        <v>1</v>
      </c>
      <c r="I25" s="39"/>
      <c r="J25" s="40" t="s">
        <v>1</v>
      </c>
    </row>
    <row r="26" ht="34" customHeight="1" spans="1:10" x14ac:dyDescent="0.25">
      <c r="A26" s="41" t="s">
        <v>1139</v>
      </c>
      <c r="B26" s="20" t="s">
        <v>39</v>
      </c>
      <c r="C26" s="42" t="s">
        <v>1140</v>
      </c>
      <c r="D26" s="24" t="s">
        <v>969</v>
      </c>
      <c r="E26" s="20" t="s">
        <v>295</v>
      </c>
      <c r="F26" s="43" t="s">
        <v>876</v>
      </c>
      <c r="G26" s="38" t="s">
        <v>20</v>
      </c>
      <c r="H26" s="38" t="s">
        <v>1</v>
      </c>
      <c r="I26" s="39"/>
      <c r="J26" s="40" t="s">
        <v>1</v>
      </c>
    </row>
    <row r="27" ht="34" customHeight="1" spans="1:10" x14ac:dyDescent="0.25">
      <c r="A27" s="41" t="s">
        <v>1141</v>
      </c>
      <c r="B27" s="20" t="s">
        <v>41</v>
      </c>
      <c r="C27" s="42" t="s">
        <v>1142</v>
      </c>
      <c r="D27" s="24" t="s">
        <v>1143</v>
      </c>
      <c r="E27" s="20" t="s">
        <v>264</v>
      </c>
      <c r="F27" s="43" t="s">
        <v>1144</v>
      </c>
      <c r="G27" s="38" t="s">
        <v>20</v>
      </c>
      <c r="H27" s="38" t="s">
        <v>1</v>
      </c>
      <c r="I27" s="39"/>
      <c r="J27" s="40" t="s">
        <v>1</v>
      </c>
    </row>
    <row r="28" ht="34" customHeight="1" spans="1:10" x14ac:dyDescent="0.25">
      <c r="A28" s="41" t="s">
        <v>1145</v>
      </c>
      <c r="B28" s="20" t="s">
        <v>43</v>
      </c>
      <c r="C28" s="42" t="s">
        <v>516</v>
      </c>
      <c r="D28" s="24" t="s">
        <v>517</v>
      </c>
      <c r="E28" s="20" t="s">
        <v>295</v>
      </c>
      <c r="F28" s="43" t="s">
        <v>518</v>
      </c>
      <c r="G28" s="38" t="s">
        <v>20</v>
      </c>
      <c r="H28" s="38" t="s">
        <v>1</v>
      </c>
      <c r="I28" s="39"/>
      <c r="J28" s="40" t="s">
        <v>1</v>
      </c>
    </row>
    <row r="29" ht="34" customHeight="1" spans="1:10" x14ac:dyDescent="0.25">
      <c r="A29" s="41" t="s">
        <v>1146</v>
      </c>
      <c r="B29" s="20" t="s">
        <v>43</v>
      </c>
      <c r="C29" s="42" t="s">
        <v>520</v>
      </c>
      <c r="D29" s="24" t="s">
        <v>521</v>
      </c>
      <c r="E29" s="20" t="s">
        <v>392</v>
      </c>
      <c r="F29" s="43" t="s">
        <v>522</v>
      </c>
      <c r="G29" s="38" t="s">
        <v>20</v>
      </c>
      <c r="H29" s="38" t="s">
        <v>1</v>
      </c>
      <c r="I29" s="39"/>
      <c r="J29" s="40" t="s">
        <v>1</v>
      </c>
    </row>
    <row r="30" ht="34" customHeight="1" spans="1:10" x14ac:dyDescent="0.25">
      <c r="A30" s="41" t="s">
        <v>1147</v>
      </c>
      <c r="B30" s="20" t="s">
        <v>43</v>
      </c>
      <c r="C30" s="42" t="s">
        <v>524</v>
      </c>
      <c r="D30" s="24" t="s">
        <v>525</v>
      </c>
      <c r="E30" s="20" t="s">
        <v>392</v>
      </c>
      <c r="F30" s="43" t="s">
        <v>526</v>
      </c>
      <c r="G30" s="38" t="s">
        <v>20</v>
      </c>
      <c r="H30" s="38" t="s">
        <v>1</v>
      </c>
      <c r="I30" s="39"/>
      <c r="J30" s="40" t="s">
        <v>1</v>
      </c>
    </row>
    <row r="31" ht="34" customHeight="1" spans="1:10" x14ac:dyDescent="0.25">
      <c r="A31" s="41" t="s">
        <v>1148</v>
      </c>
      <c r="B31" s="20" t="s">
        <v>43</v>
      </c>
      <c r="C31" s="42" t="s">
        <v>893</v>
      </c>
      <c r="D31" s="24" t="s">
        <v>894</v>
      </c>
      <c r="E31" s="20" t="s">
        <v>392</v>
      </c>
      <c r="F31" s="43" t="s">
        <v>895</v>
      </c>
      <c r="G31" s="38" t="s">
        <v>20</v>
      </c>
      <c r="H31" s="38" t="s">
        <v>1</v>
      </c>
      <c r="I31" s="39"/>
      <c r="J31" s="40" t="s">
        <v>1</v>
      </c>
    </row>
    <row r="32" ht="20" customHeight="1" spans="1:10" x14ac:dyDescent="0.25">
      <c r="A32" s="41" t="s">
        <v>1149</v>
      </c>
      <c r="B32" s="20" t="s">
        <v>43</v>
      </c>
      <c r="C32" s="42" t="s">
        <v>1150</v>
      </c>
      <c r="D32" s="24" t="s">
        <v>1151</v>
      </c>
      <c r="E32" s="20" t="s">
        <v>530</v>
      </c>
      <c r="F32" s="43" t="s">
        <v>1152</v>
      </c>
      <c r="G32" s="38" t="s">
        <v>20</v>
      </c>
      <c r="H32" s="38" t="s">
        <v>1</v>
      </c>
      <c r="I32" s="39"/>
      <c r="J32" s="40" t="s">
        <v>1</v>
      </c>
    </row>
    <row r="33" ht="34" customHeight="1" spans="1:10" x14ac:dyDescent="0.25">
      <c r="A33" s="41" t="s">
        <v>1153</v>
      </c>
      <c r="B33" s="20" t="s">
        <v>43</v>
      </c>
      <c r="C33" s="42" t="s">
        <v>1154</v>
      </c>
      <c r="D33" s="24" t="s">
        <v>1155</v>
      </c>
      <c r="E33" s="20" t="s">
        <v>392</v>
      </c>
      <c r="F33" s="43" t="s">
        <v>1156</v>
      </c>
      <c r="G33" s="38" t="s">
        <v>20</v>
      </c>
      <c r="H33" s="38" t="s">
        <v>1</v>
      </c>
      <c r="I33" s="39"/>
      <c r="J33" s="40" t="s">
        <v>1</v>
      </c>
    </row>
    <row r="34" ht="48" customHeight="1" spans="1:10" x14ac:dyDescent="0.25">
      <c r="A34" s="41" t="s">
        <v>1157</v>
      </c>
      <c r="B34" s="20" t="s">
        <v>45</v>
      </c>
      <c r="C34" s="42" t="s">
        <v>536</v>
      </c>
      <c r="D34" s="24" t="s">
        <v>537</v>
      </c>
      <c r="E34" s="20" t="s">
        <v>295</v>
      </c>
      <c r="F34" s="43" t="s">
        <v>538</v>
      </c>
      <c r="G34" s="38" t="s">
        <v>20</v>
      </c>
      <c r="H34" s="38" t="s">
        <v>1</v>
      </c>
      <c r="I34" s="39"/>
      <c r="J34" s="40" t="s">
        <v>1</v>
      </c>
    </row>
    <row r="35" ht="34" customHeight="1" spans="1:10" x14ac:dyDescent="0.25">
      <c r="A35" s="41" t="s">
        <v>1158</v>
      </c>
      <c r="B35" s="20" t="s">
        <v>45</v>
      </c>
      <c r="C35" s="42" t="s">
        <v>540</v>
      </c>
      <c r="D35" s="24" t="s">
        <v>1159</v>
      </c>
      <c r="E35" s="20" t="s">
        <v>295</v>
      </c>
      <c r="F35" s="43" t="s">
        <v>542</v>
      </c>
      <c r="G35" s="38" t="s">
        <v>20</v>
      </c>
      <c r="H35" s="38" t="s">
        <v>1</v>
      </c>
      <c r="I35" s="39"/>
      <c r="J35" s="40" t="s">
        <v>1</v>
      </c>
    </row>
    <row r="36" ht="34" customHeight="1" spans="1:10" x14ac:dyDescent="0.25">
      <c r="A36" s="41" t="s">
        <v>1160</v>
      </c>
      <c r="B36" s="20" t="s">
        <v>45</v>
      </c>
      <c r="C36" s="42" t="s">
        <v>544</v>
      </c>
      <c r="D36" s="24" t="s">
        <v>545</v>
      </c>
      <c r="E36" s="20" t="s">
        <v>295</v>
      </c>
      <c r="F36" s="43" t="s">
        <v>546</v>
      </c>
      <c r="G36" s="38" t="s">
        <v>20</v>
      </c>
      <c r="H36" s="38" t="s">
        <v>1</v>
      </c>
      <c r="I36" s="39"/>
      <c r="J36" s="40" t="s">
        <v>1</v>
      </c>
    </row>
    <row r="37" ht="34" customHeight="1" spans="1:10" x14ac:dyDescent="0.25">
      <c r="A37" s="41" t="s">
        <v>1161</v>
      </c>
      <c r="B37" s="20" t="s">
        <v>45</v>
      </c>
      <c r="C37" s="42" t="s">
        <v>548</v>
      </c>
      <c r="D37" s="24" t="s">
        <v>1162</v>
      </c>
      <c r="E37" s="20" t="s">
        <v>550</v>
      </c>
      <c r="F37" s="43" t="s">
        <v>551</v>
      </c>
      <c r="G37" s="38" t="s">
        <v>20</v>
      </c>
      <c r="H37" s="38" t="s">
        <v>1</v>
      </c>
      <c r="I37" s="39"/>
      <c r="J37" s="40" t="s">
        <v>1</v>
      </c>
    </row>
    <row r="38" ht="48" customHeight="1" spans="1:10" x14ac:dyDescent="0.25">
      <c r="A38" s="33" t="s">
        <v>1163</v>
      </c>
      <c r="B38" s="34" t="s">
        <v>47</v>
      </c>
      <c r="C38" s="35" t="s">
        <v>289</v>
      </c>
      <c r="D38" s="36" t="s">
        <v>1164</v>
      </c>
      <c r="E38" s="34" t="s">
        <v>290</v>
      </c>
      <c r="F38" s="37" t="s">
        <v>291</v>
      </c>
      <c r="G38" s="38" t="s">
        <v>20</v>
      </c>
      <c r="H38" s="38" t="s">
        <v>1</v>
      </c>
      <c r="I38" s="39"/>
      <c r="J38" s="40" t="s">
        <v>1</v>
      </c>
    </row>
    <row r="39" ht="20" customHeight="1" spans="1:10" x14ac:dyDescent="0.25">
      <c r="A39" s="33" t="s">
        <v>1165</v>
      </c>
      <c r="B39" s="34" t="s">
        <v>47</v>
      </c>
      <c r="C39" s="35" t="s">
        <v>425</v>
      </c>
      <c r="D39" s="36" t="s">
        <v>720</v>
      </c>
      <c r="E39" s="34" t="s">
        <v>290</v>
      </c>
      <c r="F39" s="37" t="s">
        <v>556</v>
      </c>
      <c r="G39" s="38" t="s">
        <v>20</v>
      </c>
      <c r="H39" s="38" t="s">
        <v>1</v>
      </c>
      <c r="I39" s="39"/>
      <c r="J39" s="40" t="s">
        <v>1</v>
      </c>
    </row>
    <row r="40" ht="34" customHeight="1" spans="1:10" x14ac:dyDescent="0.25">
      <c r="A40" s="33" t="s">
        <v>1166</v>
      </c>
      <c r="B40" s="34" t="s">
        <v>47</v>
      </c>
      <c r="C40" s="35" t="s">
        <v>1167</v>
      </c>
      <c r="D40" s="36" t="s">
        <v>1168</v>
      </c>
      <c r="E40" s="34" t="s">
        <v>295</v>
      </c>
      <c r="F40" s="37" t="s">
        <v>560</v>
      </c>
      <c r="G40" s="38" t="s">
        <v>20</v>
      </c>
      <c r="H40" s="38" t="s">
        <v>1</v>
      </c>
      <c r="I40" s="39"/>
      <c r="J40" s="40" t="s">
        <v>1</v>
      </c>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sheetData>
  <autoFilter ref="A8:J40"/>
  <mergeCells count="6">
    <mergeCell ref="A1:I1"/>
    <mergeCell ref="B2:J2"/>
    <mergeCell ref="B3:J3"/>
    <mergeCell ref="B4:J4"/>
    <mergeCell ref="B5:J5"/>
    <mergeCell ref="A7:J7"/>
  </mergeCells>
  <conditionalFormatting sqref="J6">
    <cfRule type="cellIs" dxfId="154" priority="1" operator="equal">
      <formula>"Done"</formula>
    </cfRule>
    <cfRule type="cellIs" dxfId="155" priority="2" operator="equal">
      <formula>"Complete"</formula>
    </cfRule>
    <cfRule type="cellIs" dxfId="156" priority="3" operator="equal">
      <formula>"In progress"</formula>
    </cfRule>
    <cfRule type="cellIs" dxfId="157" priority="4" operator="equal">
      <formula>"Blocked"</formula>
    </cfRule>
    <cfRule type="cellIs" dxfId="158" priority="5" operator="equal">
      <formula>"N/A"</formula>
    </cfRule>
    <cfRule type="cellIs" dxfId="159" priority="6" operator="equal">
      <formula>"Decided"</formula>
    </cfRule>
    <cfRule type="cellIs" dxfId="160" priority="7" operator="equal">
      <formula>"Open"</formula>
    </cfRule>
  </conditionalFormatting>
  <conditionalFormatting sqref="A7">
    <cfRule type="containsText" dxfId="161" priority="8">
      <formula>NOT(ISERROR(SEARCH("LOCKED",A7)))</formula>
    </cfRule>
    <cfRule type="containsText" dxfId="162" priority="9">
      <formula>NOT(ISERROR(SEARCH("READY",A7)))</formula>
    </cfRule>
  </conditionalFormatting>
  <conditionalFormatting sqref="G9:G400">
    <cfRule type="cellIs" dxfId="163" priority="10" operator="equal">
      <formula>"Done"</formula>
    </cfRule>
    <cfRule type="cellIs" dxfId="164" priority="11" operator="equal">
      <formula>"Complete"</formula>
    </cfRule>
    <cfRule type="cellIs" dxfId="165" priority="12" operator="equal">
      <formula>"In progress"</formula>
    </cfRule>
    <cfRule type="cellIs" dxfId="166" priority="13" operator="equal">
      <formula>"Blocked"</formula>
    </cfRule>
    <cfRule type="cellIs" dxfId="167" priority="14" operator="equal">
      <formula>"N/A"</formula>
    </cfRule>
    <cfRule type="cellIs" dxfId="168" priority="15" operator="equal">
      <formula>"Decided"</formula>
    </cfRule>
    <cfRule type="cellIs" dxfId="169" priority="16" operator="equal">
      <formula>"Open"</formula>
    </cfRule>
  </conditionalFormatting>
  <dataValidations count="4">
    <dataValidation type="list" allowBlank="1" showErrorMessage="1" errorTitle="Status" error="Choose a value from the list." sqref="G10:G55">
      <formula1>"Not started,In progress,Blocked,Done,N/A"</formula1>
    </dataValidation>
    <dataValidation type="list" allowBlank="1" showErrorMessage="1" errorTitle="Status" error="Choose a value from the list." sqref="G9:G55">
      <formula1>"Not started,In progress,Blocked,Done,N/A"</formula1>
    </dataValidation>
    <dataValidation type="date" operator="greaterThan" allowBlank="1" showErrorMessage="1" errorTitle="Date done" error="Enter a date (yyyy-mm-dd)." sqref="I10:I55">
      <formula1>46023</formula1>
    </dataValidation>
    <dataValidation type="date" operator="greaterThan" allowBlank="1" showErrorMessage="1" errorTitle="Date done" error="Enter a date (yyyy-mm-dd)." sqref="I9:I55">
      <formula1>46023</formula1>
    </dataValidation>
  </dataValidations>
  <hyperlinks>
    <hyperlink ref="J1" r:id="rId1" location="#'Dashboard'!A1"/>
  </hyperlinks>
  <pageSetup paperSize="9"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3"/>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1169</v>
      </c>
      <c r="B1" s="27"/>
      <c r="C1" s="27"/>
      <c r="D1" s="27"/>
      <c r="E1" s="27"/>
      <c r="F1" s="27"/>
      <c r="G1" s="27"/>
      <c r="H1" s="27"/>
      <c r="I1" s="27"/>
      <c r="J1" s="28" t="s">
        <v>202</v>
      </c>
    </row>
    <row r="2" ht="17" customHeight="1" spans="1:10" x14ac:dyDescent="0.25">
      <c r="A2" s="29" t="s">
        <v>203</v>
      </c>
      <c r="B2" s="6" t="s">
        <v>1170</v>
      </c>
      <c r="C2" s="6"/>
      <c r="D2" s="6"/>
      <c r="E2" s="6"/>
      <c r="F2" s="6"/>
      <c r="G2" s="6"/>
      <c r="H2" s="6"/>
      <c r="I2" s="6"/>
      <c r="J2" s="6"/>
    </row>
    <row r="3" ht="17" customHeight="1" spans="1:10" x14ac:dyDescent="0.25">
      <c r="A3" s="29" t="s">
        <v>205</v>
      </c>
      <c r="B3" s="6" t="s">
        <v>1171</v>
      </c>
      <c r="C3" s="6"/>
      <c r="D3" s="6"/>
      <c r="E3" s="6"/>
      <c r="F3" s="6"/>
      <c r="G3" s="6"/>
      <c r="H3" s="6"/>
      <c r="I3" s="6"/>
      <c r="J3" s="6"/>
    </row>
    <row r="4" ht="17" customHeight="1" spans="1:10" x14ac:dyDescent="0.25">
      <c r="A4" s="29" t="s">
        <v>207</v>
      </c>
      <c r="B4" s="6" t="s">
        <v>1172</v>
      </c>
      <c r="C4" s="6"/>
      <c r="D4" s="6"/>
      <c r="E4" s="6"/>
      <c r="F4" s="6"/>
      <c r="G4" s="6"/>
      <c r="H4" s="6"/>
      <c r="I4" s="6"/>
      <c r="J4" s="6"/>
    </row>
    <row r="5" ht="17" customHeight="1" spans="1:10" x14ac:dyDescent="0.25">
      <c r="A5" s="29" t="s">
        <v>98</v>
      </c>
      <c r="B5" s="2" t="s">
        <v>154</v>
      </c>
      <c r="C5" s="2"/>
      <c r="D5" s="2"/>
      <c r="E5" s="2"/>
      <c r="F5" s="2"/>
      <c r="G5" s="2"/>
      <c r="H5" s="2"/>
      <c r="I5" s="2"/>
      <c r="J5" s="2"/>
    </row>
    <row r="6" spans="1:10" x14ac:dyDescent="0.25">
      <c r="A6" s="17" t="s">
        <v>92</v>
      </c>
      <c r="B6" s="30">
        <f>IF(D6=0,0,F6/D6)</f>
        <v>0</v>
      </c>
      <c r="C6" s="17" t="s">
        <v>91</v>
      </c>
      <c r="D6" s="31">
        <f>COUNTA(C9:C400)</f>
        <v>30</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IF('M10 Care Work'!$B$6=1,"READY: M10 is complete. Work the steps in order, 0 Gate in to 8 Gate out.","LOCKED: finish M10 Care Work first. Do not start work on this sheet.")</f>
        <v>LOCKED: finish M10 Care Work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1173</v>
      </c>
      <c r="B9" s="34" t="s">
        <v>31</v>
      </c>
      <c r="C9" s="35" t="s">
        <v>1174</v>
      </c>
      <c r="D9" s="36" t="s">
        <v>1175</v>
      </c>
      <c r="E9" s="34" t="s">
        <v>290</v>
      </c>
      <c r="F9" s="37" t="s">
        <v>304</v>
      </c>
      <c r="G9" s="38" t="s">
        <v>20</v>
      </c>
      <c r="H9" s="38" t="s">
        <v>1</v>
      </c>
      <c r="I9" s="39"/>
      <c r="J9" s="40" t="s">
        <v>1</v>
      </c>
    </row>
    <row r="10" ht="34" customHeight="1" spans="1:10" x14ac:dyDescent="0.25">
      <c r="A10" s="33" t="s">
        <v>1176</v>
      </c>
      <c r="B10" s="34" t="s">
        <v>31</v>
      </c>
      <c r="C10" s="35" t="s">
        <v>441</v>
      </c>
      <c r="D10" s="36" t="s">
        <v>1177</v>
      </c>
      <c r="E10" s="34" t="s">
        <v>443</v>
      </c>
      <c r="F10" s="37" t="s">
        <v>444</v>
      </c>
      <c r="G10" s="38" t="s">
        <v>20</v>
      </c>
      <c r="H10" s="38" t="s">
        <v>1</v>
      </c>
      <c r="I10" s="39"/>
      <c r="J10" s="40" t="s">
        <v>1</v>
      </c>
    </row>
    <row r="11" ht="34" customHeight="1" spans="1:10" x14ac:dyDescent="0.25">
      <c r="A11" s="33" t="s">
        <v>1178</v>
      </c>
      <c r="B11" s="34" t="s">
        <v>31</v>
      </c>
      <c r="C11" s="35" t="s">
        <v>306</v>
      </c>
      <c r="D11" s="36" t="s">
        <v>1179</v>
      </c>
      <c r="E11" s="34" t="s">
        <v>308</v>
      </c>
      <c r="F11" s="37" t="s">
        <v>309</v>
      </c>
      <c r="G11" s="38" t="s">
        <v>20</v>
      </c>
      <c r="H11" s="38" t="s">
        <v>1</v>
      </c>
      <c r="I11" s="39"/>
      <c r="J11" s="40" t="s">
        <v>1</v>
      </c>
    </row>
    <row r="12" ht="48" customHeight="1" spans="1:10" x14ac:dyDescent="0.25">
      <c r="A12" s="41" t="s">
        <v>1180</v>
      </c>
      <c r="B12" s="20" t="s">
        <v>33</v>
      </c>
      <c r="C12" s="42" t="s">
        <v>448</v>
      </c>
      <c r="D12" s="24" t="s">
        <v>1181</v>
      </c>
      <c r="E12" s="20" t="s">
        <v>295</v>
      </c>
      <c r="F12" s="43" t="s">
        <v>1182</v>
      </c>
      <c r="G12" s="38" t="s">
        <v>20</v>
      </c>
      <c r="H12" s="38" t="s">
        <v>1</v>
      </c>
      <c r="I12" s="39"/>
      <c r="J12" s="40" t="s">
        <v>1</v>
      </c>
    </row>
    <row r="13" ht="34" customHeight="1" spans="1:10" x14ac:dyDescent="0.25">
      <c r="A13" s="41" t="s">
        <v>1183</v>
      </c>
      <c r="B13" s="20" t="s">
        <v>33</v>
      </c>
      <c r="C13" s="42" t="s">
        <v>452</v>
      </c>
      <c r="D13" s="24" t="s">
        <v>1184</v>
      </c>
      <c r="E13" s="20" t="s">
        <v>295</v>
      </c>
      <c r="F13" s="43" t="s">
        <v>454</v>
      </c>
      <c r="G13" s="38" t="s">
        <v>20</v>
      </c>
      <c r="H13" s="38" t="s">
        <v>1</v>
      </c>
      <c r="I13" s="39"/>
      <c r="J13" s="40" t="s">
        <v>1</v>
      </c>
    </row>
    <row r="14" ht="48" customHeight="1" spans="1:10" x14ac:dyDescent="0.25">
      <c r="A14" s="41" t="s">
        <v>1185</v>
      </c>
      <c r="B14" s="20" t="s">
        <v>33</v>
      </c>
      <c r="C14" s="42" t="s">
        <v>456</v>
      </c>
      <c r="D14" s="24" t="s">
        <v>457</v>
      </c>
      <c r="E14" s="20" t="s">
        <v>295</v>
      </c>
      <c r="F14" s="43" t="s">
        <v>458</v>
      </c>
      <c r="G14" s="38" t="s">
        <v>20</v>
      </c>
      <c r="H14" s="38" t="s">
        <v>1</v>
      </c>
      <c r="I14" s="39"/>
      <c r="J14" s="40" t="s">
        <v>1</v>
      </c>
    </row>
    <row r="15" ht="34" customHeight="1" spans="1:10" x14ac:dyDescent="0.25">
      <c r="A15" s="41" t="s">
        <v>1186</v>
      </c>
      <c r="B15" s="20" t="s">
        <v>33</v>
      </c>
      <c r="C15" s="42" t="s">
        <v>460</v>
      </c>
      <c r="D15" s="24" t="s">
        <v>1187</v>
      </c>
      <c r="E15" s="20" t="s">
        <v>295</v>
      </c>
      <c r="F15" s="43" t="s">
        <v>462</v>
      </c>
      <c r="G15" s="38" t="s">
        <v>20</v>
      </c>
      <c r="H15" s="38" t="s">
        <v>1</v>
      </c>
      <c r="I15" s="39"/>
      <c r="J15" s="40" t="s">
        <v>1</v>
      </c>
    </row>
    <row r="16" ht="34" customHeight="1" spans="1:10" x14ac:dyDescent="0.25">
      <c r="A16" s="41" t="s">
        <v>1188</v>
      </c>
      <c r="B16" s="20" t="s">
        <v>35</v>
      </c>
      <c r="C16" s="42" t="s">
        <v>1189</v>
      </c>
      <c r="D16" s="24" t="s">
        <v>1190</v>
      </c>
      <c r="E16" s="20" t="s">
        <v>295</v>
      </c>
      <c r="F16" s="43" t="s">
        <v>1191</v>
      </c>
      <c r="G16" s="38" t="s">
        <v>20</v>
      </c>
      <c r="H16" s="38" t="s">
        <v>1</v>
      </c>
      <c r="I16" s="39"/>
      <c r="J16" s="40" t="s">
        <v>1</v>
      </c>
    </row>
    <row r="17" ht="34" customHeight="1" spans="1:10" x14ac:dyDescent="0.25">
      <c r="A17" s="41" t="s">
        <v>1192</v>
      </c>
      <c r="B17" s="20" t="s">
        <v>35</v>
      </c>
      <c r="C17" s="42" t="s">
        <v>1193</v>
      </c>
      <c r="D17" s="24" t="s">
        <v>1194</v>
      </c>
      <c r="E17" s="20" t="s">
        <v>359</v>
      </c>
      <c r="F17" s="43" t="s">
        <v>1195</v>
      </c>
      <c r="G17" s="38" t="s">
        <v>20</v>
      </c>
      <c r="H17" s="38" t="s">
        <v>1</v>
      </c>
      <c r="I17" s="39"/>
      <c r="J17" s="40" t="s">
        <v>1</v>
      </c>
    </row>
    <row r="18" ht="34" customHeight="1" spans="1:10" x14ac:dyDescent="0.25">
      <c r="A18" s="41" t="s">
        <v>1196</v>
      </c>
      <c r="B18" s="20" t="s">
        <v>35</v>
      </c>
      <c r="C18" s="42" t="s">
        <v>1197</v>
      </c>
      <c r="D18" s="24" t="s">
        <v>1198</v>
      </c>
      <c r="E18" s="20" t="s">
        <v>295</v>
      </c>
      <c r="F18" s="43" t="s">
        <v>1199</v>
      </c>
      <c r="G18" s="38" t="s">
        <v>20</v>
      </c>
      <c r="H18" s="38" t="s">
        <v>1</v>
      </c>
      <c r="I18" s="39"/>
      <c r="J18" s="40" t="s">
        <v>1</v>
      </c>
    </row>
    <row r="19" ht="20" customHeight="1" spans="1:10" x14ac:dyDescent="0.25">
      <c r="A19" s="41" t="s">
        <v>1200</v>
      </c>
      <c r="B19" s="20" t="s">
        <v>35</v>
      </c>
      <c r="C19" s="42" t="s">
        <v>1201</v>
      </c>
      <c r="D19" s="24" t="s">
        <v>1202</v>
      </c>
      <c r="E19" s="20" t="s">
        <v>295</v>
      </c>
      <c r="F19" s="43" t="s">
        <v>1203</v>
      </c>
      <c r="G19" s="38" t="s">
        <v>20</v>
      </c>
      <c r="H19" s="38" t="s">
        <v>1</v>
      </c>
      <c r="I19" s="39"/>
      <c r="J19" s="40" t="s">
        <v>1</v>
      </c>
    </row>
    <row r="20" ht="34" customHeight="1" spans="1:10" x14ac:dyDescent="0.25">
      <c r="A20" s="41" t="s">
        <v>1204</v>
      </c>
      <c r="B20" s="20" t="s">
        <v>35</v>
      </c>
      <c r="C20" s="42" t="s">
        <v>1205</v>
      </c>
      <c r="D20" s="24" t="s">
        <v>1206</v>
      </c>
      <c r="E20" s="20" t="s">
        <v>295</v>
      </c>
      <c r="F20" s="43" t="s">
        <v>1207</v>
      </c>
      <c r="G20" s="38" t="s">
        <v>20</v>
      </c>
      <c r="H20" s="38" t="s">
        <v>1</v>
      </c>
      <c r="I20" s="39"/>
      <c r="J20" s="40" t="s">
        <v>1</v>
      </c>
    </row>
    <row r="21" ht="34" customHeight="1" spans="1:10" x14ac:dyDescent="0.25">
      <c r="A21" s="41" t="s">
        <v>1208</v>
      </c>
      <c r="B21" s="20" t="s">
        <v>35</v>
      </c>
      <c r="C21" s="42" t="s">
        <v>1209</v>
      </c>
      <c r="D21" s="24" t="s">
        <v>1210</v>
      </c>
      <c r="E21" s="20" t="s">
        <v>295</v>
      </c>
      <c r="F21" s="43" t="s">
        <v>1211</v>
      </c>
      <c r="G21" s="38" t="s">
        <v>20</v>
      </c>
      <c r="H21" s="38" t="s">
        <v>1</v>
      </c>
      <c r="I21" s="39"/>
      <c r="J21" s="40" t="s">
        <v>1</v>
      </c>
    </row>
    <row r="22" ht="34" customHeight="1" spans="1:10" x14ac:dyDescent="0.25">
      <c r="A22" s="41" t="s">
        <v>1212</v>
      </c>
      <c r="B22" s="20" t="s">
        <v>35</v>
      </c>
      <c r="C22" s="42" t="s">
        <v>1213</v>
      </c>
      <c r="D22" s="24" t="s">
        <v>1214</v>
      </c>
      <c r="E22" s="20" t="s">
        <v>1215</v>
      </c>
      <c r="F22" s="43" t="s">
        <v>1216</v>
      </c>
      <c r="G22" s="38" t="s">
        <v>20</v>
      </c>
      <c r="H22" s="38" t="s">
        <v>1</v>
      </c>
      <c r="I22" s="39"/>
      <c r="J22" s="40" t="s">
        <v>1</v>
      </c>
    </row>
    <row r="23" ht="34" customHeight="1" spans="1:10" x14ac:dyDescent="0.25">
      <c r="A23" s="41" t="s">
        <v>1217</v>
      </c>
      <c r="B23" s="20" t="s">
        <v>37</v>
      </c>
      <c r="C23" s="42" t="s">
        <v>1218</v>
      </c>
      <c r="D23" s="24" t="s">
        <v>1219</v>
      </c>
      <c r="E23" s="20" t="s">
        <v>295</v>
      </c>
      <c r="F23" s="43" t="s">
        <v>610</v>
      </c>
      <c r="G23" s="38" t="s">
        <v>20</v>
      </c>
      <c r="H23" s="38" t="s">
        <v>1</v>
      </c>
      <c r="I23" s="39"/>
      <c r="J23" s="40" t="s">
        <v>1</v>
      </c>
    </row>
    <row r="24" ht="34" customHeight="1" spans="1:10" x14ac:dyDescent="0.25">
      <c r="A24" s="41" t="s">
        <v>1220</v>
      </c>
      <c r="B24" s="20" t="s">
        <v>37</v>
      </c>
      <c r="C24" s="42" t="s">
        <v>1221</v>
      </c>
      <c r="D24" s="24" t="s">
        <v>1222</v>
      </c>
      <c r="E24" s="20" t="s">
        <v>295</v>
      </c>
      <c r="F24" s="43" t="s">
        <v>1223</v>
      </c>
      <c r="G24" s="38" t="s">
        <v>20</v>
      </c>
      <c r="H24" s="38" t="s">
        <v>1</v>
      </c>
      <c r="I24" s="39"/>
      <c r="J24" s="40" t="s">
        <v>1</v>
      </c>
    </row>
    <row r="25" ht="48" customHeight="1" spans="1:10" x14ac:dyDescent="0.25">
      <c r="A25" s="41" t="s">
        <v>1224</v>
      </c>
      <c r="B25" s="20" t="s">
        <v>39</v>
      </c>
      <c r="C25" s="42" t="s">
        <v>1225</v>
      </c>
      <c r="D25" s="24" t="s">
        <v>969</v>
      </c>
      <c r="E25" s="20" t="s">
        <v>295</v>
      </c>
      <c r="F25" s="43" t="s">
        <v>876</v>
      </c>
      <c r="G25" s="38" t="s">
        <v>20</v>
      </c>
      <c r="H25" s="38" t="s">
        <v>1</v>
      </c>
      <c r="I25" s="39"/>
      <c r="J25" s="40" t="s">
        <v>1</v>
      </c>
    </row>
    <row r="26" ht="34" customHeight="1" spans="1:10" x14ac:dyDescent="0.25">
      <c r="A26" s="41" t="s">
        <v>1226</v>
      </c>
      <c r="B26" s="20" t="s">
        <v>41</v>
      </c>
      <c r="C26" s="42" t="s">
        <v>1227</v>
      </c>
      <c r="D26" s="24" t="s">
        <v>1228</v>
      </c>
      <c r="E26" s="20" t="s">
        <v>264</v>
      </c>
      <c r="F26" s="43" t="s">
        <v>1229</v>
      </c>
      <c r="G26" s="38" t="s">
        <v>20</v>
      </c>
      <c r="H26" s="38" t="s">
        <v>1</v>
      </c>
      <c r="I26" s="39"/>
      <c r="J26" s="40" t="s">
        <v>1</v>
      </c>
    </row>
    <row r="27" ht="34" customHeight="1" spans="1:10" x14ac:dyDescent="0.25">
      <c r="A27" s="41" t="s">
        <v>1230</v>
      </c>
      <c r="B27" s="20" t="s">
        <v>43</v>
      </c>
      <c r="C27" s="42" t="s">
        <v>516</v>
      </c>
      <c r="D27" s="24" t="s">
        <v>517</v>
      </c>
      <c r="E27" s="20" t="s">
        <v>295</v>
      </c>
      <c r="F27" s="43" t="s">
        <v>518</v>
      </c>
      <c r="G27" s="38" t="s">
        <v>20</v>
      </c>
      <c r="H27" s="38" t="s">
        <v>1</v>
      </c>
      <c r="I27" s="39"/>
      <c r="J27" s="40" t="s">
        <v>1</v>
      </c>
    </row>
    <row r="28" ht="34" customHeight="1" spans="1:10" x14ac:dyDescent="0.25">
      <c r="A28" s="41" t="s">
        <v>1231</v>
      </c>
      <c r="B28" s="20" t="s">
        <v>43</v>
      </c>
      <c r="C28" s="42" t="s">
        <v>520</v>
      </c>
      <c r="D28" s="24" t="s">
        <v>521</v>
      </c>
      <c r="E28" s="20" t="s">
        <v>392</v>
      </c>
      <c r="F28" s="43" t="s">
        <v>522</v>
      </c>
      <c r="G28" s="38" t="s">
        <v>20</v>
      </c>
      <c r="H28" s="38" t="s">
        <v>1</v>
      </c>
      <c r="I28" s="39"/>
      <c r="J28" s="40" t="s">
        <v>1</v>
      </c>
    </row>
    <row r="29" ht="34" customHeight="1" spans="1:10" x14ac:dyDescent="0.25">
      <c r="A29" s="41" t="s">
        <v>1232</v>
      </c>
      <c r="B29" s="20" t="s">
        <v>43</v>
      </c>
      <c r="C29" s="42" t="s">
        <v>524</v>
      </c>
      <c r="D29" s="24" t="s">
        <v>525</v>
      </c>
      <c r="E29" s="20" t="s">
        <v>392</v>
      </c>
      <c r="F29" s="43" t="s">
        <v>526</v>
      </c>
      <c r="G29" s="38" t="s">
        <v>20</v>
      </c>
      <c r="H29" s="38" t="s">
        <v>1</v>
      </c>
      <c r="I29" s="39"/>
      <c r="J29" s="40" t="s">
        <v>1</v>
      </c>
    </row>
    <row r="30" ht="34" customHeight="1" spans="1:10" x14ac:dyDescent="0.25">
      <c r="A30" s="41" t="s">
        <v>1233</v>
      </c>
      <c r="B30" s="20" t="s">
        <v>43</v>
      </c>
      <c r="C30" s="42" t="s">
        <v>893</v>
      </c>
      <c r="D30" s="24" t="s">
        <v>894</v>
      </c>
      <c r="E30" s="20" t="s">
        <v>392</v>
      </c>
      <c r="F30" s="43" t="s">
        <v>895</v>
      </c>
      <c r="G30" s="38" t="s">
        <v>20</v>
      </c>
      <c r="H30" s="38" t="s">
        <v>1</v>
      </c>
      <c r="I30" s="39"/>
      <c r="J30" s="40" t="s">
        <v>1</v>
      </c>
    </row>
    <row r="31" ht="34" customHeight="1" spans="1:10" x14ac:dyDescent="0.25">
      <c r="A31" s="41" t="s">
        <v>1234</v>
      </c>
      <c r="B31" s="20" t="s">
        <v>43</v>
      </c>
      <c r="C31" s="42" t="s">
        <v>1235</v>
      </c>
      <c r="D31" s="24" t="s">
        <v>1236</v>
      </c>
      <c r="E31" s="20" t="s">
        <v>392</v>
      </c>
      <c r="F31" s="43" t="s">
        <v>1237</v>
      </c>
      <c r="G31" s="38" t="s">
        <v>20</v>
      </c>
      <c r="H31" s="38" t="s">
        <v>1</v>
      </c>
      <c r="I31" s="39"/>
      <c r="J31" s="40" t="s">
        <v>1</v>
      </c>
    </row>
    <row r="32" ht="48" customHeight="1" spans="1:10" x14ac:dyDescent="0.25">
      <c r="A32" s="41" t="s">
        <v>1238</v>
      </c>
      <c r="B32" s="20" t="s">
        <v>45</v>
      </c>
      <c r="C32" s="42" t="s">
        <v>536</v>
      </c>
      <c r="D32" s="24" t="s">
        <v>537</v>
      </c>
      <c r="E32" s="20" t="s">
        <v>295</v>
      </c>
      <c r="F32" s="43" t="s">
        <v>538</v>
      </c>
      <c r="G32" s="38" t="s">
        <v>20</v>
      </c>
      <c r="H32" s="38" t="s">
        <v>1</v>
      </c>
      <c r="I32" s="39"/>
      <c r="J32" s="40" t="s">
        <v>1</v>
      </c>
    </row>
    <row r="33" ht="48" customHeight="1" spans="1:10" x14ac:dyDescent="0.25">
      <c r="A33" s="41" t="s">
        <v>1239</v>
      </c>
      <c r="B33" s="20" t="s">
        <v>45</v>
      </c>
      <c r="C33" s="42" t="s">
        <v>540</v>
      </c>
      <c r="D33" s="24" t="s">
        <v>1240</v>
      </c>
      <c r="E33" s="20" t="s">
        <v>295</v>
      </c>
      <c r="F33" s="43" t="s">
        <v>542</v>
      </c>
      <c r="G33" s="38" t="s">
        <v>20</v>
      </c>
      <c r="H33" s="38" t="s">
        <v>1</v>
      </c>
      <c r="I33" s="39"/>
      <c r="J33" s="40" t="s">
        <v>1</v>
      </c>
    </row>
    <row r="34" ht="34" customHeight="1" spans="1:10" x14ac:dyDescent="0.25">
      <c r="A34" s="41" t="s">
        <v>1241</v>
      </c>
      <c r="B34" s="20" t="s">
        <v>45</v>
      </c>
      <c r="C34" s="42" t="s">
        <v>544</v>
      </c>
      <c r="D34" s="24" t="s">
        <v>545</v>
      </c>
      <c r="E34" s="20" t="s">
        <v>295</v>
      </c>
      <c r="F34" s="43" t="s">
        <v>546</v>
      </c>
      <c r="G34" s="38" t="s">
        <v>20</v>
      </c>
      <c r="H34" s="38" t="s">
        <v>1</v>
      </c>
      <c r="I34" s="39"/>
      <c r="J34" s="40" t="s">
        <v>1</v>
      </c>
    </row>
    <row r="35" ht="34" customHeight="1" spans="1:10" x14ac:dyDescent="0.25">
      <c r="A35" s="41" t="s">
        <v>1242</v>
      </c>
      <c r="B35" s="20" t="s">
        <v>45</v>
      </c>
      <c r="C35" s="42" t="s">
        <v>548</v>
      </c>
      <c r="D35" s="24" t="s">
        <v>1243</v>
      </c>
      <c r="E35" s="20" t="s">
        <v>550</v>
      </c>
      <c r="F35" s="43" t="s">
        <v>551</v>
      </c>
      <c r="G35" s="38" t="s">
        <v>20</v>
      </c>
      <c r="H35" s="38" t="s">
        <v>1</v>
      </c>
      <c r="I35" s="39"/>
      <c r="J35" s="40" t="s">
        <v>1</v>
      </c>
    </row>
    <row r="36" ht="48" customHeight="1" spans="1:10" x14ac:dyDescent="0.25">
      <c r="A36" s="33" t="s">
        <v>1244</v>
      </c>
      <c r="B36" s="34" t="s">
        <v>47</v>
      </c>
      <c r="C36" s="35" t="s">
        <v>289</v>
      </c>
      <c r="D36" s="36" t="s">
        <v>1245</v>
      </c>
      <c r="E36" s="34" t="s">
        <v>290</v>
      </c>
      <c r="F36" s="37" t="s">
        <v>291</v>
      </c>
      <c r="G36" s="38" t="s">
        <v>20</v>
      </c>
      <c r="H36" s="38" t="s">
        <v>1</v>
      </c>
      <c r="I36" s="39"/>
      <c r="J36" s="40" t="s">
        <v>1</v>
      </c>
    </row>
    <row r="37" ht="20" customHeight="1" spans="1:10" x14ac:dyDescent="0.25">
      <c r="A37" s="33" t="s">
        <v>1246</v>
      </c>
      <c r="B37" s="34" t="s">
        <v>47</v>
      </c>
      <c r="C37" s="35" t="s">
        <v>425</v>
      </c>
      <c r="D37" s="36" t="s">
        <v>720</v>
      </c>
      <c r="E37" s="34" t="s">
        <v>290</v>
      </c>
      <c r="F37" s="37" t="s">
        <v>556</v>
      </c>
      <c r="G37" s="38" t="s">
        <v>20</v>
      </c>
      <c r="H37" s="38" t="s">
        <v>1</v>
      </c>
      <c r="I37" s="39"/>
      <c r="J37" s="40" t="s">
        <v>1</v>
      </c>
    </row>
    <row r="38" ht="34" customHeight="1" spans="1:10" x14ac:dyDescent="0.25">
      <c r="A38" s="33" t="s">
        <v>1247</v>
      </c>
      <c r="B38" s="34" t="s">
        <v>47</v>
      </c>
      <c r="C38" s="35" t="s">
        <v>1248</v>
      </c>
      <c r="D38" s="36" t="s">
        <v>1249</v>
      </c>
      <c r="E38" s="34" t="s">
        <v>295</v>
      </c>
      <c r="F38" s="37" t="s">
        <v>560</v>
      </c>
      <c r="G38" s="38" t="s">
        <v>20</v>
      </c>
      <c r="H38" s="38" t="s">
        <v>1</v>
      </c>
      <c r="I38" s="39"/>
      <c r="J38" s="40" t="s">
        <v>1</v>
      </c>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sheetData>
  <autoFilter ref="A8:J38"/>
  <mergeCells count="6">
    <mergeCell ref="A1:I1"/>
    <mergeCell ref="B2:J2"/>
    <mergeCell ref="B3:J3"/>
    <mergeCell ref="B4:J4"/>
    <mergeCell ref="B5:J5"/>
    <mergeCell ref="A7:J7"/>
  </mergeCells>
  <conditionalFormatting sqref="J6">
    <cfRule type="cellIs" dxfId="170" priority="1" operator="equal">
      <formula>"Done"</formula>
    </cfRule>
    <cfRule type="cellIs" dxfId="171" priority="2" operator="equal">
      <formula>"Complete"</formula>
    </cfRule>
    <cfRule type="cellIs" dxfId="172" priority="3" operator="equal">
      <formula>"In progress"</formula>
    </cfRule>
    <cfRule type="cellIs" dxfId="173" priority="4" operator="equal">
      <formula>"Blocked"</formula>
    </cfRule>
    <cfRule type="cellIs" dxfId="174" priority="5" operator="equal">
      <formula>"N/A"</formula>
    </cfRule>
    <cfRule type="cellIs" dxfId="175" priority="6" operator="equal">
      <formula>"Decided"</formula>
    </cfRule>
    <cfRule type="cellIs" dxfId="176" priority="7" operator="equal">
      <formula>"Open"</formula>
    </cfRule>
  </conditionalFormatting>
  <conditionalFormatting sqref="A7">
    <cfRule type="containsText" dxfId="177" priority="8">
      <formula>NOT(ISERROR(SEARCH("LOCKED",A7)))</formula>
    </cfRule>
    <cfRule type="containsText" dxfId="178" priority="9">
      <formula>NOT(ISERROR(SEARCH("READY",A7)))</formula>
    </cfRule>
  </conditionalFormatting>
  <conditionalFormatting sqref="G9:G400">
    <cfRule type="cellIs" dxfId="179" priority="10" operator="equal">
      <formula>"Done"</formula>
    </cfRule>
    <cfRule type="cellIs" dxfId="180" priority="11" operator="equal">
      <formula>"Complete"</formula>
    </cfRule>
    <cfRule type="cellIs" dxfId="181" priority="12" operator="equal">
      <formula>"In progress"</formula>
    </cfRule>
    <cfRule type="cellIs" dxfId="182" priority="13" operator="equal">
      <formula>"Blocked"</formula>
    </cfRule>
    <cfRule type="cellIs" dxfId="183" priority="14" operator="equal">
      <formula>"N/A"</formula>
    </cfRule>
    <cfRule type="cellIs" dxfId="184" priority="15" operator="equal">
      <formula>"Decided"</formula>
    </cfRule>
    <cfRule type="cellIs" dxfId="185" priority="16" operator="equal">
      <formula>"Open"</formula>
    </cfRule>
  </conditionalFormatting>
  <dataValidations count="4">
    <dataValidation type="list" allowBlank="1" showErrorMessage="1" errorTitle="Status" error="Choose a value from the list." sqref="G10:G53">
      <formula1>"Not started,In progress,Blocked,Done,N/A"</formula1>
    </dataValidation>
    <dataValidation type="list" allowBlank="1" showErrorMessage="1" errorTitle="Status" error="Choose a value from the list." sqref="G9:G53">
      <formula1>"Not started,In progress,Blocked,Done,N/A"</formula1>
    </dataValidation>
    <dataValidation type="date" operator="greaterThan" allowBlank="1" showErrorMessage="1" errorTitle="Date done" error="Enter a date (yyyy-mm-dd)." sqref="I10:I53">
      <formula1>46023</formula1>
    </dataValidation>
    <dataValidation type="date" operator="greaterThan" allowBlank="1" showErrorMessage="1" errorTitle="Date done" error="Enter a date (yyyy-mm-dd)." sqref="I9:I53">
      <formula1>46023</formula1>
    </dataValidation>
  </dataValidations>
  <hyperlinks>
    <hyperlink ref="J1" r:id="rId1" location="#'Dashboard'!A1"/>
  </hyperlinks>
  <pageSetup paperSize="9"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49"/>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1250</v>
      </c>
      <c r="B1" s="27"/>
      <c r="C1" s="27"/>
      <c r="D1" s="27"/>
      <c r="E1" s="27"/>
      <c r="F1" s="27"/>
      <c r="G1" s="27"/>
      <c r="H1" s="27"/>
      <c r="I1" s="27"/>
      <c r="J1" s="28" t="s">
        <v>202</v>
      </c>
    </row>
    <row r="2" ht="17" customHeight="1" spans="1:10" x14ac:dyDescent="0.25">
      <c r="A2" s="29" t="s">
        <v>203</v>
      </c>
      <c r="B2" s="6" t="s">
        <v>1251</v>
      </c>
      <c r="C2" s="6"/>
      <c r="D2" s="6"/>
      <c r="E2" s="6"/>
      <c r="F2" s="6"/>
      <c r="G2" s="6"/>
      <c r="H2" s="6"/>
      <c r="I2" s="6"/>
      <c r="J2" s="6"/>
    </row>
    <row r="3" ht="17" customHeight="1" spans="1:10" x14ac:dyDescent="0.25">
      <c r="A3" s="29" t="s">
        <v>205</v>
      </c>
      <c r="B3" s="6" t="s">
        <v>1252</v>
      </c>
      <c r="C3" s="6"/>
      <c r="D3" s="6"/>
      <c r="E3" s="6"/>
      <c r="F3" s="6"/>
      <c r="G3" s="6"/>
      <c r="H3" s="6"/>
      <c r="I3" s="6"/>
      <c r="J3" s="6"/>
    </row>
    <row r="4" ht="17" customHeight="1" spans="1:10" x14ac:dyDescent="0.25">
      <c r="A4" s="29" t="s">
        <v>207</v>
      </c>
      <c r="B4" s="6" t="s">
        <v>1253</v>
      </c>
      <c r="C4" s="6"/>
      <c r="D4" s="6"/>
      <c r="E4" s="6"/>
      <c r="F4" s="6"/>
      <c r="G4" s="6"/>
      <c r="H4" s="6"/>
      <c r="I4" s="6"/>
      <c r="J4" s="6"/>
    </row>
    <row r="5" ht="17" customHeight="1" spans="1:10" x14ac:dyDescent="0.25">
      <c r="A5" s="29" t="s">
        <v>98</v>
      </c>
      <c r="B5" s="2" t="s">
        <v>159</v>
      </c>
      <c r="C5" s="2"/>
      <c r="D5" s="2"/>
      <c r="E5" s="2"/>
      <c r="F5" s="2"/>
      <c r="G5" s="2"/>
      <c r="H5" s="2"/>
      <c r="I5" s="2"/>
      <c r="J5" s="2"/>
    </row>
    <row r="6" spans="1:10" x14ac:dyDescent="0.25">
      <c r="A6" s="17" t="s">
        <v>92</v>
      </c>
      <c r="B6" s="30">
        <f>IF(D6=0,0,F6/D6)</f>
        <v>0</v>
      </c>
      <c r="C6" s="17" t="s">
        <v>91</v>
      </c>
      <c r="D6" s="31">
        <f>COUNTA(C9:C400)</f>
        <v>26</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IF('M11 Referral'!$B$6=1,"READY: M11 is complete. Work the steps in order, 0 Gate in to 8 Gate out.","LOCKED: finish M11 Referral first. Do not start work on this sheet.")</f>
        <v>LOCKED: finish M11 Referral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1254</v>
      </c>
      <c r="B9" s="34" t="s">
        <v>31</v>
      </c>
      <c r="C9" s="35" t="s">
        <v>1255</v>
      </c>
      <c r="D9" s="36" t="s">
        <v>1256</v>
      </c>
      <c r="E9" s="34" t="s">
        <v>290</v>
      </c>
      <c r="F9" s="37" t="s">
        <v>304</v>
      </c>
      <c r="G9" s="38" t="s">
        <v>20</v>
      </c>
      <c r="H9" s="38" t="s">
        <v>1</v>
      </c>
      <c r="I9" s="39"/>
      <c r="J9" s="40" t="s">
        <v>1</v>
      </c>
    </row>
    <row r="10" ht="34" customHeight="1" spans="1:10" x14ac:dyDescent="0.25">
      <c r="A10" s="33" t="s">
        <v>1257</v>
      </c>
      <c r="B10" s="34" t="s">
        <v>31</v>
      </c>
      <c r="C10" s="35" t="s">
        <v>441</v>
      </c>
      <c r="D10" s="36" t="s">
        <v>1258</v>
      </c>
      <c r="E10" s="34" t="s">
        <v>443</v>
      </c>
      <c r="F10" s="37" t="s">
        <v>444</v>
      </c>
      <c r="G10" s="38" t="s">
        <v>20</v>
      </c>
      <c r="H10" s="38" t="s">
        <v>1</v>
      </c>
      <c r="I10" s="39"/>
      <c r="J10" s="40" t="s">
        <v>1</v>
      </c>
    </row>
    <row r="11" ht="48" customHeight="1" spans="1:10" x14ac:dyDescent="0.25">
      <c r="A11" s="41" t="s">
        <v>1259</v>
      </c>
      <c r="B11" s="20" t="s">
        <v>33</v>
      </c>
      <c r="C11" s="42" t="s">
        <v>448</v>
      </c>
      <c r="D11" s="24" t="s">
        <v>1260</v>
      </c>
      <c r="E11" s="20" t="s">
        <v>295</v>
      </c>
      <c r="F11" s="43" t="s">
        <v>1261</v>
      </c>
      <c r="G11" s="38" t="s">
        <v>20</v>
      </c>
      <c r="H11" s="38" t="s">
        <v>1</v>
      </c>
      <c r="I11" s="39"/>
      <c r="J11" s="40" t="s">
        <v>1</v>
      </c>
    </row>
    <row r="12" ht="48" customHeight="1" spans="1:10" x14ac:dyDescent="0.25">
      <c r="A12" s="41" t="s">
        <v>1262</v>
      </c>
      <c r="B12" s="20" t="s">
        <v>33</v>
      </c>
      <c r="C12" s="42" t="s">
        <v>456</v>
      </c>
      <c r="D12" s="24" t="s">
        <v>457</v>
      </c>
      <c r="E12" s="20" t="s">
        <v>295</v>
      </c>
      <c r="F12" s="43" t="s">
        <v>458</v>
      </c>
      <c r="G12" s="38" t="s">
        <v>20</v>
      </c>
      <c r="H12" s="38" t="s">
        <v>1</v>
      </c>
      <c r="I12" s="39"/>
      <c r="J12" s="40" t="s">
        <v>1</v>
      </c>
    </row>
    <row r="13" ht="48" customHeight="1" spans="1:10" x14ac:dyDescent="0.25">
      <c r="A13" s="41" t="s">
        <v>1263</v>
      </c>
      <c r="B13" s="20" t="s">
        <v>33</v>
      </c>
      <c r="C13" s="42" t="s">
        <v>460</v>
      </c>
      <c r="D13" s="24" t="s">
        <v>1264</v>
      </c>
      <c r="E13" s="20" t="s">
        <v>295</v>
      </c>
      <c r="F13" s="43" t="s">
        <v>462</v>
      </c>
      <c r="G13" s="38" t="s">
        <v>20</v>
      </c>
      <c r="H13" s="38" t="s">
        <v>1</v>
      </c>
      <c r="I13" s="39"/>
      <c r="J13" s="40" t="s">
        <v>1</v>
      </c>
    </row>
    <row r="14" ht="34" customHeight="1" spans="1:10" x14ac:dyDescent="0.25">
      <c r="A14" s="41" t="s">
        <v>1265</v>
      </c>
      <c r="B14" s="20" t="s">
        <v>35</v>
      </c>
      <c r="C14" s="42" t="s">
        <v>1266</v>
      </c>
      <c r="D14" s="24" t="s">
        <v>1267</v>
      </c>
      <c r="E14" s="20" t="s">
        <v>295</v>
      </c>
      <c r="F14" s="43" t="s">
        <v>1268</v>
      </c>
      <c r="G14" s="38" t="s">
        <v>20</v>
      </c>
      <c r="H14" s="38" t="s">
        <v>1</v>
      </c>
      <c r="I14" s="39"/>
      <c r="J14" s="40" t="s">
        <v>1</v>
      </c>
    </row>
    <row r="15" ht="34" customHeight="1" spans="1:10" x14ac:dyDescent="0.25">
      <c r="A15" s="41" t="s">
        <v>1269</v>
      </c>
      <c r="B15" s="20" t="s">
        <v>35</v>
      </c>
      <c r="C15" s="42" t="s">
        <v>1270</v>
      </c>
      <c r="D15" s="24" t="s">
        <v>1271</v>
      </c>
      <c r="E15" s="20" t="s">
        <v>295</v>
      </c>
      <c r="F15" s="43" t="s">
        <v>1272</v>
      </c>
      <c r="G15" s="38" t="s">
        <v>20</v>
      </c>
      <c r="H15" s="38" t="s">
        <v>1</v>
      </c>
      <c r="I15" s="39"/>
      <c r="J15" s="40" t="s">
        <v>1</v>
      </c>
    </row>
    <row r="16" ht="34" customHeight="1" spans="1:10" x14ac:dyDescent="0.25">
      <c r="A16" s="41" t="s">
        <v>1273</v>
      </c>
      <c r="B16" s="20" t="s">
        <v>35</v>
      </c>
      <c r="C16" s="42" t="s">
        <v>1274</v>
      </c>
      <c r="D16" s="24" t="s">
        <v>1275</v>
      </c>
      <c r="E16" s="20" t="s">
        <v>295</v>
      </c>
      <c r="F16" s="43" t="s">
        <v>1276</v>
      </c>
      <c r="G16" s="38" t="s">
        <v>20</v>
      </c>
      <c r="H16" s="38" t="s">
        <v>1</v>
      </c>
      <c r="I16" s="39"/>
      <c r="J16" s="40" t="s">
        <v>1</v>
      </c>
    </row>
    <row r="17" ht="34" customHeight="1" spans="1:10" x14ac:dyDescent="0.25">
      <c r="A17" s="41" t="s">
        <v>1277</v>
      </c>
      <c r="B17" s="20" t="s">
        <v>35</v>
      </c>
      <c r="C17" s="42" t="s">
        <v>1278</v>
      </c>
      <c r="D17" s="24" t="s">
        <v>1279</v>
      </c>
      <c r="E17" s="20" t="s">
        <v>295</v>
      </c>
      <c r="F17" s="43" t="s">
        <v>1280</v>
      </c>
      <c r="G17" s="38" t="s">
        <v>20</v>
      </c>
      <c r="H17" s="38" t="s">
        <v>1</v>
      </c>
      <c r="I17" s="39"/>
      <c r="J17" s="40" t="s">
        <v>1</v>
      </c>
    </row>
    <row r="18" ht="34" customHeight="1" spans="1:10" x14ac:dyDescent="0.25">
      <c r="A18" s="41" t="s">
        <v>1281</v>
      </c>
      <c r="B18" s="20" t="s">
        <v>35</v>
      </c>
      <c r="C18" s="42" t="s">
        <v>1282</v>
      </c>
      <c r="D18" s="24" t="s">
        <v>1283</v>
      </c>
      <c r="E18" s="20" t="s">
        <v>295</v>
      </c>
      <c r="F18" s="43" t="s">
        <v>1284</v>
      </c>
      <c r="G18" s="38" t="s">
        <v>20</v>
      </c>
      <c r="H18" s="38" t="s">
        <v>1</v>
      </c>
      <c r="I18" s="39"/>
      <c r="J18" s="40" t="s">
        <v>1</v>
      </c>
    </row>
    <row r="19" ht="20" customHeight="1" spans="1:10" x14ac:dyDescent="0.25">
      <c r="A19" s="41" t="s">
        <v>1285</v>
      </c>
      <c r="B19" s="20" t="s">
        <v>35</v>
      </c>
      <c r="C19" s="42" t="s">
        <v>1286</v>
      </c>
      <c r="D19" s="24" t="s">
        <v>1287</v>
      </c>
      <c r="E19" s="20" t="s">
        <v>295</v>
      </c>
      <c r="F19" s="43" t="s">
        <v>1288</v>
      </c>
      <c r="G19" s="38" t="s">
        <v>20</v>
      </c>
      <c r="H19" s="38" t="s">
        <v>1</v>
      </c>
      <c r="I19" s="39"/>
      <c r="J19" s="40" t="s">
        <v>1</v>
      </c>
    </row>
    <row r="20" ht="34" customHeight="1" spans="1:10" x14ac:dyDescent="0.25">
      <c r="A20" s="41" t="s">
        <v>1289</v>
      </c>
      <c r="B20" s="20" t="s">
        <v>37</v>
      </c>
      <c r="C20" s="42" t="s">
        <v>1290</v>
      </c>
      <c r="D20" s="24" t="s">
        <v>1291</v>
      </c>
      <c r="E20" s="20" t="s">
        <v>295</v>
      </c>
      <c r="F20" s="43" t="s">
        <v>610</v>
      </c>
      <c r="G20" s="38" t="s">
        <v>20</v>
      </c>
      <c r="H20" s="38" t="s">
        <v>1</v>
      </c>
      <c r="I20" s="39"/>
      <c r="J20" s="40" t="s">
        <v>1</v>
      </c>
    </row>
    <row r="21" ht="20" customHeight="1" spans="1:10" x14ac:dyDescent="0.25">
      <c r="A21" s="41" t="s">
        <v>1292</v>
      </c>
      <c r="B21" s="20" t="s">
        <v>39</v>
      </c>
      <c r="C21" s="42" t="s">
        <v>1293</v>
      </c>
      <c r="D21" s="24" t="s">
        <v>1294</v>
      </c>
      <c r="E21" s="20" t="s">
        <v>295</v>
      </c>
      <c r="F21" s="43" t="s">
        <v>876</v>
      </c>
      <c r="G21" s="38" t="s">
        <v>20</v>
      </c>
      <c r="H21" s="38" t="s">
        <v>1</v>
      </c>
      <c r="I21" s="39"/>
      <c r="J21" s="40" t="s">
        <v>1</v>
      </c>
    </row>
    <row r="22" ht="34" customHeight="1" spans="1:10" x14ac:dyDescent="0.25">
      <c r="A22" s="41" t="s">
        <v>1295</v>
      </c>
      <c r="B22" s="20" t="s">
        <v>41</v>
      </c>
      <c r="C22" s="42" t="s">
        <v>1296</v>
      </c>
      <c r="D22" s="24" t="s">
        <v>1297</v>
      </c>
      <c r="E22" s="20" t="s">
        <v>264</v>
      </c>
      <c r="F22" s="43" t="s">
        <v>1298</v>
      </c>
      <c r="G22" s="38" t="s">
        <v>20</v>
      </c>
      <c r="H22" s="38" t="s">
        <v>1</v>
      </c>
      <c r="I22" s="39"/>
      <c r="J22" s="40" t="s">
        <v>1</v>
      </c>
    </row>
    <row r="23" ht="34" customHeight="1" spans="1:10" x14ac:dyDescent="0.25">
      <c r="A23" s="41" t="s">
        <v>1299</v>
      </c>
      <c r="B23" s="20" t="s">
        <v>43</v>
      </c>
      <c r="C23" s="42" t="s">
        <v>516</v>
      </c>
      <c r="D23" s="24" t="s">
        <v>517</v>
      </c>
      <c r="E23" s="20" t="s">
        <v>295</v>
      </c>
      <c r="F23" s="43" t="s">
        <v>518</v>
      </c>
      <c r="G23" s="38" t="s">
        <v>20</v>
      </c>
      <c r="H23" s="38" t="s">
        <v>1</v>
      </c>
      <c r="I23" s="39"/>
      <c r="J23" s="40" t="s">
        <v>1</v>
      </c>
    </row>
    <row r="24" ht="34" customHeight="1" spans="1:10" x14ac:dyDescent="0.25">
      <c r="A24" s="41" t="s">
        <v>1300</v>
      </c>
      <c r="B24" s="20" t="s">
        <v>43</v>
      </c>
      <c r="C24" s="42" t="s">
        <v>520</v>
      </c>
      <c r="D24" s="24" t="s">
        <v>521</v>
      </c>
      <c r="E24" s="20" t="s">
        <v>392</v>
      </c>
      <c r="F24" s="43" t="s">
        <v>522</v>
      </c>
      <c r="G24" s="38" t="s">
        <v>20</v>
      </c>
      <c r="H24" s="38" t="s">
        <v>1</v>
      </c>
      <c r="I24" s="39"/>
      <c r="J24" s="40" t="s">
        <v>1</v>
      </c>
    </row>
    <row r="25" ht="34" customHeight="1" spans="1:10" x14ac:dyDescent="0.25">
      <c r="A25" s="41" t="s">
        <v>1301</v>
      </c>
      <c r="B25" s="20" t="s">
        <v>43</v>
      </c>
      <c r="C25" s="42" t="s">
        <v>524</v>
      </c>
      <c r="D25" s="24" t="s">
        <v>525</v>
      </c>
      <c r="E25" s="20" t="s">
        <v>392</v>
      </c>
      <c r="F25" s="43" t="s">
        <v>526</v>
      </c>
      <c r="G25" s="38" t="s">
        <v>20</v>
      </c>
      <c r="H25" s="38" t="s">
        <v>1</v>
      </c>
      <c r="I25" s="39"/>
      <c r="J25" s="40" t="s">
        <v>1</v>
      </c>
    </row>
    <row r="26" ht="34" customHeight="1" spans="1:10" x14ac:dyDescent="0.25">
      <c r="A26" s="41" t="s">
        <v>1302</v>
      </c>
      <c r="B26" s="20" t="s">
        <v>43</v>
      </c>
      <c r="C26" s="42" t="s">
        <v>893</v>
      </c>
      <c r="D26" s="24" t="s">
        <v>894</v>
      </c>
      <c r="E26" s="20" t="s">
        <v>392</v>
      </c>
      <c r="F26" s="43" t="s">
        <v>895</v>
      </c>
      <c r="G26" s="38" t="s">
        <v>20</v>
      </c>
      <c r="H26" s="38" t="s">
        <v>1</v>
      </c>
      <c r="I26" s="39"/>
      <c r="J26" s="40" t="s">
        <v>1</v>
      </c>
    </row>
    <row r="27" ht="34" customHeight="1" spans="1:10" x14ac:dyDescent="0.25">
      <c r="A27" s="41" t="s">
        <v>1303</v>
      </c>
      <c r="B27" s="20" t="s">
        <v>43</v>
      </c>
      <c r="C27" s="42" t="s">
        <v>1304</v>
      </c>
      <c r="D27" s="24" t="s">
        <v>1305</v>
      </c>
      <c r="E27" s="20" t="s">
        <v>392</v>
      </c>
      <c r="F27" s="43" t="s">
        <v>1306</v>
      </c>
      <c r="G27" s="38" t="s">
        <v>20</v>
      </c>
      <c r="H27" s="38" t="s">
        <v>1</v>
      </c>
      <c r="I27" s="39"/>
      <c r="J27" s="40" t="s">
        <v>1</v>
      </c>
    </row>
    <row r="28" ht="48" customHeight="1" spans="1:10" x14ac:dyDescent="0.25">
      <c r="A28" s="41" t="s">
        <v>1307</v>
      </c>
      <c r="B28" s="20" t="s">
        <v>45</v>
      </c>
      <c r="C28" s="42" t="s">
        <v>536</v>
      </c>
      <c r="D28" s="24" t="s">
        <v>537</v>
      </c>
      <c r="E28" s="20" t="s">
        <v>295</v>
      </c>
      <c r="F28" s="43" t="s">
        <v>538</v>
      </c>
      <c r="G28" s="38" t="s">
        <v>20</v>
      </c>
      <c r="H28" s="38" t="s">
        <v>1</v>
      </c>
      <c r="I28" s="39"/>
      <c r="J28" s="40" t="s">
        <v>1</v>
      </c>
    </row>
    <row r="29" ht="34" customHeight="1" spans="1:10" x14ac:dyDescent="0.25">
      <c r="A29" s="41" t="s">
        <v>1308</v>
      </c>
      <c r="B29" s="20" t="s">
        <v>45</v>
      </c>
      <c r="C29" s="42" t="s">
        <v>540</v>
      </c>
      <c r="D29" s="24" t="s">
        <v>1309</v>
      </c>
      <c r="E29" s="20" t="s">
        <v>295</v>
      </c>
      <c r="F29" s="43" t="s">
        <v>542</v>
      </c>
      <c r="G29" s="38" t="s">
        <v>20</v>
      </c>
      <c r="H29" s="38" t="s">
        <v>1</v>
      </c>
      <c r="I29" s="39"/>
      <c r="J29" s="40" t="s">
        <v>1</v>
      </c>
    </row>
    <row r="30" ht="34" customHeight="1" spans="1:10" x14ac:dyDescent="0.25">
      <c r="A30" s="41" t="s">
        <v>1310</v>
      </c>
      <c r="B30" s="20" t="s">
        <v>45</v>
      </c>
      <c r="C30" s="42" t="s">
        <v>544</v>
      </c>
      <c r="D30" s="24" t="s">
        <v>545</v>
      </c>
      <c r="E30" s="20" t="s">
        <v>295</v>
      </c>
      <c r="F30" s="43" t="s">
        <v>546</v>
      </c>
      <c r="G30" s="38" t="s">
        <v>20</v>
      </c>
      <c r="H30" s="38" t="s">
        <v>1</v>
      </c>
      <c r="I30" s="39"/>
      <c r="J30" s="40" t="s">
        <v>1</v>
      </c>
    </row>
    <row r="31" ht="34" customHeight="1" spans="1:10" x14ac:dyDescent="0.25">
      <c r="A31" s="41" t="s">
        <v>1311</v>
      </c>
      <c r="B31" s="20" t="s">
        <v>45</v>
      </c>
      <c r="C31" s="42" t="s">
        <v>548</v>
      </c>
      <c r="D31" s="24" t="s">
        <v>1312</v>
      </c>
      <c r="E31" s="20" t="s">
        <v>550</v>
      </c>
      <c r="F31" s="43" t="s">
        <v>551</v>
      </c>
      <c r="G31" s="38" t="s">
        <v>20</v>
      </c>
      <c r="H31" s="38" t="s">
        <v>1</v>
      </c>
      <c r="I31" s="39"/>
      <c r="J31" s="40" t="s">
        <v>1</v>
      </c>
    </row>
    <row r="32" ht="48" customHeight="1" spans="1:10" x14ac:dyDescent="0.25">
      <c r="A32" s="33" t="s">
        <v>1313</v>
      </c>
      <c r="B32" s="34" t="s">
        <v>47</v>
      </c>
      <c r="C32" s="35" t="s">
        <v>289</v>
      </c>
      <c r="D32" s="36" t="s">
        <v>1314</v>
      </c>
      <c r="E32" s="34" t="s">
        <v>290</v>
      </c>
      <c r="F32" s="37" t="s">
        <v>291</v>
      </c>
      <c r="G32" s="38" t="s">
        <v>20</v>
      </c>
      <c r="H32" s="38" t="s">
        <v>1</v>
      </c>
      <c r="I32" s="39"/>
      <c r="J32" s="40" t="s">
        <v>1</v>
      </c>
    </row>
    <row r="33" ht="20" customHeight="1" spans="1:10" x14ac:dyDescent="0.25">
      <c r="A33" s="33" t="s">
        <v>1315</v>
      </c>
      <c r="B33" s="34" t="s">
        <v>47</v>
      </c>
      <c r="C33" s="35" t="s">
        <v>425</v>
      </c>
      <c r="D33" s="36" t="s">
        <v>720</v>
      </c>
      <c r="E33" s="34" t="s">
        <v>290</v>
      </c>
      <c r="F33" s="37" t="s">
        <v>556</v>
      </c>
      <c r="G33" s="38" t="s">
        <v>20</v>
      </c>
      <c r="H33" s="38" t="s">
        <v>1</v>
      </c>
      <c r="I33" s="39"/>
      <c r="J33" s="40" t="s">
        <v>1</v>
      </c>
    </row>
    <row r="34" ht="34" customHeight="1" spans="1:10" x14ac:dyDescent="0.25">
      <c r="A34" s="33" t="s">
        <v>1316</v>
      </c>
      <c r="B34" s="34" t="s">
        <v>47</v>
      </c>
      <c r="C34" s="35" t="s">
        <v>1317</v>
      </c>
      <c r="D34" s="36" t="s">
        <v>1318</v>
      </c>
      <c r="E34" s="34" t="s">
        <v>295</v>
      </c>
      <c r="F34" s="37" t="s">
        <v>560</v>
      </c>
      <c r="G34" s="38" t="s">
        <v>20</v>
      </c>
      <c r="H34" s="38" t="s">
        <v>1</v>
      </c>
      <c r="I34" s="39"/>
      <c r="J34" s="40" t="s">
        <v>1</v>
      </c>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sheetData>
  <autoFilter ref="A8:J34"/>
  <mergeCells count="6">
    <mergeCell ref="A1:I1"/>
    <mergeCell ref="B2:J2"/>
    <mergeCell ref="B3:J3"/>
    <mergeCell ref="B4:J4"/>
    <mergeCell ref="B5:J5"/>
    <mergeCell ref="A7:J7"/>
  </mergeCells>
  <conditionalFormatting sqref="J6">
    <cfRule type="cellIs" dxfId="186" priority="1" operator="equal">
      <formula>"Done"</formula>
    </cfRule>
    <cfRule type="cellIs" dxfId="187" priority="2" operator="equal">
      <formula>"Complete"</formula>
    </cfRule>
    <cfRule type="cellIs" dxfId="188" priority="3" operator="equal">
      <formula>"In progress"</formula>
    </cfRule>
    <cfRule type="cellIs" dxfId="189" priority="4" operator="equal">
      <formula>"Blocked"</formula>
    </cfRule>
    <cfRule type="cellIs" dxfId="190" priority="5" operator="equal">
      <formula>"N/A"</formula>
    </cfRule>
    <cfRule type="cellIs" dxfId="191" priority="6" operator="equal">
      <formula>"Decided"</formula>
    </cfRule>
    <cfRule type="cellIs" dxfId="192" priority="7" operator="equal">
      <formula>"Open"</formula>
    </cfRule>
  </conditionalFormatting>
  <conditionalFormatting sqref="A7">
    <cfRule type="containsText" dxfId="193" priority="8">
      <formula>NOT(ISERROR(SEARCH("LOCKED",A7)))</formula>
    </cfRule>
    <cfRule type="containsText" dxfId="194" priority="9">
      <formula>NOT(ISERROR(SEARCH("READY",A7)))</formula>
    </cfRule>
  </conditionalFormatting>
  <conditionalFormatting sqref="G9:G400">
    <cfRule type="cellIs" dxfId="195" priority="10" operator="equal">
      <formula>"Done"</formula>
    </cfRule>
    <cfRule type="cellIs" dxfId="196" priority="11" operator="equal">
      <formula>"Complete"</formula>
    </cfRule>
    <cfRule type="cellIs" dxfId="197" priority="12" operator="equal">
      <formula>"In progress"</formula>
    </cfRule>
    <cfRule type="cellIs" dxfId="198" priority="13" operator="equal">
      <formula>"Blocked"</formula>
    </cfRule>
    <cfRule type="cellIs" dxfId="199" priority="14" operator="equal">
      <formula>"N/A"</formula>
    </cfRule>
    <cfRule type="cellIs" dxfId="200" priority="15" operator="equal">
      <formula>"Decided"</formula>
    </cfRule>
    <cfRule type="cellIs" dxfId="201" priority="16" operator="equal">
      <formula>"Open"</formula>
    </cfRule>
  </conditionalFormatting>
  <dataValidations count="4">
    <dataValidation type="list" allowBlank="1" showErrorMessage="1" errorTitle="Status" error="Choose a value from the list." sqref="G10:G49">
      <formula1>"Not started,In progress,Blocked,Done,N/A"</formula1>
    </dataValidation>
    <dataValidation type="list" allowBlank="1" showErrorMessage="1" errorTitle="Status" error="Choose a value from the list." sqref="G9:G49">
      <formula1>"Not started,In progress,Blocked,Done,N/A"</formula1>
    </dataValidation>
    <dataValidation type="date" operator="greaterThan" allowBlank="1" showErrorMessage="1" errorTitle="Date done" error="Enter a date (yyyy-mm-dd)." sqref="I10:I49">
      <formula1>46023</formula1>
    </dataValidation>
    <dataValidation type="date" operator="greaterThan" allowBlank="1" showErrorMessage="1" errorTitle="Date done" error="Enter a date (yyyy-mm-dd)." sqref="I9:I49">
      <formula1>46023</formula1>
    </dataValidation>
  </dataValidations>
  <hyperlinks>
    <hyperlink ref="J1" r:id="rId1" location="#'Dashboard'!A1"/>
  </hyperlinks>
  <pageSetup paperSize="9" orientation="landscape"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2"/>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1319</v>
      </c>
      <c r="B1" s="27"/>
      <c r="C1" s="27"/>
      <c r="D1" s="27"/>
      <c r="E1" s="27"/>
      <c r="F1" s="27"/>
      <c r="G1" s="27"/>
      <c r="H1" s="27"/>
      <c r="I1" s="27"/>
      <c r="J1" s="28" t="s">
        <v>202</v>
      </c>
    </row>
    <row r="2" ht="17" customHeight="1" spans="1:10" x14ac:dyDescent="0.25">
      <c r="A2" s="29" t="s">
        <v>203</v>
      </c>
      <c r="B2" s="6" t="s">
        <v>1320</v>
      </c>
      <c r="C2" s="6"/>
      <c r="D2" s="6"/>
      <c r="E2" s="6"/>
      <c r="F2" s="6"/>
      <c r="G2" s="6"/>
      <c r="H2" s="6"/>
      <c r="I2" s="6"/>
      <c r="J2" s="6"/>
    </row>
    <row r="3" ht="17" customHeight="1" spans="1:10" x14ac:dyDescent="0.25">
      <c r="A3" s="29" t="s">
        <v>205</v>
      </c>
      <c r="B3" s="6" t="s">
        <v>1321</v>
      </c>
      <c r="C3" s="6"/>
      <c r="D3" s="6"/>
      <c r="E3" s="6"/>
      <c r="F3" s="6"/>
      <c r="G3" s="6"/>
      <c r="H3" s="6"/>
      <c r="I3" s="6"/>
      <c r="J3" s="6"/>
    </row>
    <row r="4" ht="17" customHeight="1" spans="1:10" x14ac:dyDescent="0.25">
      <c r="A4" s="29" t="s">
        <v>207</v>
      </c>
      <c r="B4" s="6" t="s">
        <v>1322</v>
      </c>
      <c r="C4" s="6"/>
      <c r="D4" s="6"/>
      <c r="E4" s="6"/>
      <c r="F4" s="6"/>
      <c r="G4" s="6"/>
      <c r="H4" s="6"/>
      <c r="I4" s="6"/>
      <c r="J4" s="6"/>
    </row>
    <row r="5" ht="17" customHeight="1" spans="1:10" x14ac:dyDescent="0.25">
      <c r="A5" s="29" t="s">
        <v>98</v>
      </c>
      <c r="B5" s="2" t="s">
        <v>164</v>
      </c>
      <c r="C5" s="2"/>
      <c r="D5" s="2"/>
      <c r="E5" s="2"/>
      <c r="F5" s="2"/>
      <c r="G5" s="2"/>
      <c r="H5" s="2"/>
      <c r="I5" s="2"/>
      <c r="J5" s="2"/>
    </row>
    <row r="6" spans="1:10" x14ac:dyDescent="0.25">
      <c r="A6" s="17" t="s">
        <v>92</v>
      </c>
      <c r="B6" s="30">
        <f>IF(D6=0,0,F6/D6)</f>
        <v>0</v>
      </c>
      <c r="C6" s="17" t="s">
        <v>91</v>
      </c>
      <c r="D6" s="31">
        <f>COUNTA(C9:C400)</f>
        <v>29</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IF('M12 Medication'!$B$6=1,"READY: M12 is complete. Work the steps in order, 0 Gate in to 8 Gate out.","LOCKED: finish M12 Medication first. Do not start work on this sheet.")</f>
        <v>LOCKED: finish M12 Medication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1323</v>
      </c>
      <c r="B9" s="34" t="s">
        <v>31</v>
      </c>
      <c r="C9" s="35" t="s">
        <v>1324</v>
      </c>
      <c r="D9" s="36" t="s">
        <v>1325</v>
      </c>
      <c r="E9" s="34" t="s">
        <v>290</v>
      </c>
      <c r="F9" s="37" t="s">
        <v>304</v>
      </c>
      <c r="G9" s="38" t="s">
        <v>20</v>
      </c>
      <c r="H9" s="38" t="s">
        <v>1</v>
      </c>
      <c r="I9" s="39"/>
      <c r="J9" s="40" t="s">
        <v>1</v>
      </c>
    </row>
    <row r="10" ht="34" customHeight="1" spans="1:10" x14ac:dyDescent="0.25">
      <c r="A10" s="33" t="s">
        <v>1326</v>
      </c>
      <c r="B10" s="34" t="s">
        <v>31</v>
      </c>
      <c r="C10" s="35" t="s">
        <v>441</v>
      </c>
      <c r="D10" s="36" t="s">
        <v>1327</v>
      </c>
      <c r="E10" s="34" t="s">
        <v>443</v>
      </c>
      <c r="F10" s="37" t="s">
        <v>444</v>
      </c>
      <c r="G10" s="38" t="s">
        <v>20</v>
      </c>
      <c r="H10" s="38" t="s">
        <v>1</v>
      </c>
      <c r="I10" s="39"/>
      <c r="J10" s="40" t="s">
        <v>1</v>
      </c>
    </row>
    <row r="11" ht="34" customHeight="1" spans="1:10" x14ac:dyDescent="0.25">
      <c r="A11" s="33" t="s">
        <v>1328</v>
      </c>
      <c r="B11" s="34" t="s">
        <v>31</v>
      </c>
      <c r="C11" s="35" t="s">
        <v>306</v>
      </c>
      <c r="D11" s="36" t="s">
        <v>1329</v>
      </c>
      <c r="E11" s="34" t="s">
        <v>308</v>
      </c>
      <c r="F11" s="37" t="s">
        <v>309</v>
      </c>
      <c r="G11" s="38" t="s">
        <v>20</v>
      </c>
      <c r="H11" s="38" t="s">
        <v>1</v>
      </c>
      <c r="I11" s="39"/>
      <c r="J11" s="40" t="s">
        <v>1</v>
      </c>
    </row>
    <row r="12" ht="48" customHeight="1" spans="1:10" x14ac:dyDescent="0.25">
      <c r="A12" s="41" t="s">
        <v>1330</v>
      </c>
      <c r="B12" s="20" t="s">
        <v>33</v>
      </c>
      <c r="C12" s="42" t="s">
        <v>448</v>
      </c>
      <c r="D12" s="24" t="s">
        <v>1331</v>
      </c>
      <c r="E12" s="20" t="s">
        <v>295</v>
      </c>
      <c r="F12" s="43" t="s">
        <v>1332</v>
      </c>
      <c r="G12" s="38" t="s">
        <v>20</v>
      </c>
      <c r="H12" s="38" t="s">
        <v>1</v>
      </c>
      <c r="I12" s="39"/>
      <c r="J12" s="40" t="s">
        <v>1</v>
      </c>
    </row>
    <row r="13" ht="48" customHeight="1" spans="1:10" x14ac:dyDescent="0.25">
      <c r="A13" s="41" t="s">
        <v>1333</v>
      </c>
      <c r="B13" s="20" t="s">
        <v>33</v>
      </c>
      <c r="C13" s="42" t="s">
        <v>456</v>
      </c>
      <c r="D13" s="24" t="s">
        <v>457</v>
      </c>
      <c r="E13" s="20" t="s">
        <v>295</v>
      </c>
      <c r="F13" s="43" t="s">
        <v>458</v>
      </c>
      <c r="G13" s="38" t="s">
        <v>20</v>
      </c>
      <c r="H13" s="38" t="s">
        <v>1</v>
      </c>
      <c r="I13" s="39"/>
      <c r="J13" s="40" t="s">
        <v>1</v>
      </c>
    </row>
    <row r="14" ht="34" customHeight="1" spans="1:10" x14ac:dyDescent="0.25">
      <c r="A14" s="41" t="s">
        <v>1334</v>
      </c>
      <c r="B14" s="20" t="s">
        <v>33</v>
      </c>
      <c r="C14" s="42" t="s">
        <v>460</v>
      </c>
      <c r="D14" s="24" t="s">
        <v>1335</v>
      </c>
      <c r="E14" s="20" t="s">
        <v>295</v>
      </c>
      <c r="F14" s="43" t="s">
        <v>462</v>
      </c>
      <c r="G14" s="38" t="s">
        <v>20</v>
      </c>
      <c r="H14" s="38" t="s">
        <v>1</v>
      </c>
      <c r="I14" s="39"/>
      <c r="J14" s="40" t="s">
        <v>1</v>
      </c>
    </row>
    <row r="15" ht="34" customHeight="1" spans="1:10" x14ac:dyDescent="0.25">
      <c r="A15" s="41" t="s">
        <v>1336</v>
      </c>
      <c r="B15" s="20" t="s">
        <v>35</v>
      </c>
      <c r="C15" s="42" t="s">
        <v>1337</v>
      </c>
      <c r="D15" s="24" t="s">
        <v>1338</v>
      </c>
      <c r="E15" s="20" t="s">
        <v>295</v>
      </c>
      <c r="F15" s="43" t="s">
        <v>1339</v>
      </c>
      <c r="G15" s="38" t="s">
        <v>20</v>
      </c>
      <c r="H15" s="38" t="s">
        <v>1</v>
      </c>
      <c r="I15" s="39"/>
      <c r="J15" s="40" t="s">
        <v>1</v>
      </c>
    </row>
    <row r="16" ht="34" customHeight="1" spans="1:10" x14ac:dyDescent="0.25">
      <c r="A16" s="41" t="s">
        <v>1340</v>
      </c>
      <c r="B16" s="20" t="s">
        <v>35</v>
      </c>
      <c r="C16" s="42" t="s">
        <v>1341</v>
      </c>
      <c r="D16" s="24" t="s">
        <v>1342</v>
      </c>
      <c r="E16" s="20" t="s">
        <v>295</v>
      </c>
      <c r="F16" s="43" t="s">
        <v>1343</v>
      </c>
      <c r="G16" s="38" t="s">
        <v>20</v>
      </c>
      <c r="H16" s="38" t="s">
        <v>1</v>
      </c>
      <c r="I16" s="39"/>
      <c r="J16" s="40" t="s">
        <v>1</v>
      </c>
    </row>
    <row r="17" ht="34" customHeight="1" spans="1:10" x14ac:dyDescent="0.25">
      <c r="A17" s="41" t="s">
        <v>1344</v>
      </c>
      <c r="B17" s="20" t="s">
        <v>35</v>
      </c>
      <c r="C17" s="42" t="s">
        <v>1345</v>
      </c>
      <c r="D17" s="24" t="s">
        <v>1346</v>
      </c>
      <c r="E17" s="20" t="s">
        <v>295</v>
      </c>
      <c r="F17" s="43" t="s">
        <v>1347</v>
      </c>
      <c r="G17" s="38" t="s">
        <v>20</v>
      </c>
      <c r="H17" s="38" t="s">
        <v>1</v>
      </c>
      <c r="I17" s="39"/>
      <c r="J17" s="40" t="s">
        <v>1</v>
      </c>
    </row>
    <row r="18" ht="48" customHeight="1" spans="1:10" x14ac:dyDescent="0.25">
      <c r="A18" s="41" t="s">
        <v>1348</v>
      </c>
      <c r="B18" s="20" t="s">
        <v>35</v>
      </c>
      <c r="C18" s="42" t="s">
        <v>1349</v>
      </c>
      <c r="D18" s="24" t="s">
        <v>1350</v>
      </c>
      <c r="E18" s="20" t="s">
        <v>295</v>
      </c>
      <c r="F18" s="43" t="s">
        <v>1351</v>
      </c>
      <c r="G18" s="38" t="s">
        <v>20</v>
      </c>
      <c r="H18" s="38" t="s">
        <v>1</v>
      </c>
      <c r="I18" s="39"/>
      <c r="J18" s="40" t="s">
        <v>1</v>
      </c>
    </row>
    <row r="19" ht="20" customHeight="1" spans="1:10" x14ac:dyDescent="0.25">
      <c r="A19" s="41" t="s">
        <v>1352</v>
      </c>
      <c r="B19" s="20" t="s">
        <v>35</v>
      </c>
      <c r="C19" s="42" t="s">
        <v>1353</v>
      </c>
      <c r="D19" s="24" t="s">
        <v>1354</v>
      </c>
      <c r="E19" s="20" t="s">
        <v>295</v>
      </c>
      <c r="F19" s="43" t="s">
        <v>1355</v>
      </c>
      <c r="G19" s="38" t="s">
        <v>20</v>
      </c>
      <c r="H19" s="38" t="s">
        <v>1</v>
      </c>
      <c r="I19" s="39"/>
      <c r="J19" s="40" t="s">
        <v>1</v>
      </c>
    </row>
    <row r="20" ht="20" customHeight="1" spans="1:10" x14ac:dyDescent="0.25">
      <c r="A20" s="41" t="s">
        <v>1356</v>
      </c>
      <c r="B20" s="20" t="s">
        <v>35</v>
      </c>
      <c r="C20" s="42" t="s">
        <v>1357</v>
      </c>
      <c r="D20" s="24" t="s">
        <v>1358</v>
      </c>
      <c r="E20" s="20" t="s">
        <v>295</v>
      </c>
      <c r="F20" s="43" t="s">
        <v>1359</v>
      </c>
      <c r="G20" s="38" t="s">
        <v>20</v>
      </c>
      <c r="H20" s="38" t="s">
        <v>1</v>
      </c>
      <c r="I20" s="39"/>
      <c r="J20" s="40" t="s">
        <v>1</v>
      </c>
    </row>
    <row r="21" ht="20" customHeight="1" spans="1:10" x14ac:dyDescent="0.25">
      <c r="A21" s="41" t="s">
        <v>1360</v>
      </c>
      <c r="B21" s="20" t="s">
        <v>37</v>
      </c>
      <c r="C21" s="42" t="s">
        <v>1361</v>
      </c>
      <c r="D21" s="24" t="s">
        <v>1362</v>
      </c>
      <c r="E21" s="20" t="s">
        <v>295</v>
      </c>
      <c r="F21" s="43" t="s">
        <v>610</v>
      </c>
      <c r="G21" s="38" t="s">
        <v>20</v>
      </c>
      <c r="H21" s="38" t="s">
        <v>1</v>
      </c>
      <c r="I21" s="39"/>
      <c r="J21" s="40" t="s">
        <v>1</v>
      </c>
    </row>
    <row r="22" ht="34" customHeight="1" spans="1:10" x14ac:dyDescent="0.25">
      <c r="A22" s="41" t="s">
        <v>1363</v>
      </c>
      <c r="B22" s="20" t="s">
        <v>37</v>
      </c>
      <c r="C22" s="42" t="s">
        <v>1364</v>
      </c>
      <c r="D22" s="24" t="s">
        <v>1365</v>
      </c>
      <c r="E22" s="20" t="s">
        <v>295</v>
      </c>
      <c r="F22" s="43" t="s">
        <v>618</v>
      </c>
      <c r="G22" s="38" t="s">
        <v>20</v>
      </c>
      <c r="H22" s="38" t="s">
        <v>1</v>
      </c>
      <c r="I22" s="39"/>
      <c r="J22" s="40" t="s">
        <v>1</v>
      </c>
    </row>
    <row r="23" ht="34" customHeight="1" spans="1:10" x14ac:dyDescent="0.25">
      <c r="A23" s="41" t="s">
        <v>1366</v>
      </c>
      <c r="B23" s="20" t="s">
        <v>39</v>
      </c>
      <c r="C23" s="42" t="s">
        <v>1367</v>
      </c>
      <c r="D23" s="24" t="s">
        <v>969</v>
      </c>
      <c r="E23" s="20" t="s">
        <v>295</v>
      </c>
      <c r="F23" s="43" t="s">
        <v>876</v>
      </c>
      <c r="G23" s="38" t="s">
        <v>20</v>
      </c>
      <c r="H23" s="38" t="s">
        <v>1</v>
      </c>
      <c r="I23" s="39"/>
      <c r="J23" s="40" t="s">
        <v>1</v>
      </c>
    </row>
    <row r="24" ht="34" customHeight="1" spans="1:10" x14ac:dyDescent="0.25">
      <c r="A24" s="41" t="s">
        <v>1368</v>
      </c>
      <c r="B24" s="20" t="s">
        <v>41</v>
      </c>
      <c r="C24" s="42" t="s">
        <v>1369</v>
      </c>
      <c r="D24" s="24" t="s">
        <v>1370</v>
      </c>
      <c r="E24" s="20" t="s">
        <v>264</v>
      </c>
      <c r="F24" s="43" t="s">
        <v>1371</v>
      </c>
      <c r="G24" s="38" t="s">
        <v>20</v>
      </c>
      <c r="H24" s="38" t="s">
        <v>1</v>
      </c>
      <c r="I24" s="39"/>
      <c r="J24" s="40" t="s">
        <v>1</v>
      </c>
    </row>
    <row r="25" ht="34" customHeight="1" spans="1:10" x14ac:dyDescent="0.25">
      <c r="A25" s="41" t="s">
        <v>1372</v>
      </c>
      <c r="B25" s="20" t="s">
        <v>41</v>
      </c>
      <c r="C25" s="42" t="s">
        <v>1373</v>
      </c>
      <c r="D25" s="24" t="s">
        <v>1374</v>
      </c>
      <c r="E25" s="20" t="s">
        <v>264</v>
      </c>
      <c r="F25" s="43" t="s">
        <v>1375</v>
      </c>
      <c r="G25" s="38" t="s">
        <v>20</v>
      </c>
      <c r="H25" s="38" t="s">
        <v>1</v>
      </c>
      <c r="I25" s="39"/>
      <c r="J25" s="40" t="s">
        <v>1</v>
      </c>
    </row>
    <row r="26" ht="34" customHeight="1" spans="1:10" x14ac:dyDescent="0.25">
      <c r="A26" s="41" t="s">
        <v>1376</v>
      </c>
      <c r="B26" s="20" t="s">
        <v>43</v>
      </c>
      <c r="C26" s="42" t="s">
        <v>516</v>
      </c>
      <c r="D26" s="24" t="s">
        <v>517</v>
      </c>
      <c r="E26" s="20" t="s">
        <v>295</v>
      </c>
      <c r="F26" s="43" t="s">
        <v>518</v>
      </c>
      <c r="G26" s="38" t="s">
        <v>20</v>
      </c>
      <c r="H26" s="38" t="s">
        <v>1</v>
      </c>
      <c r="I26" s="39"/>
      <c r="J26" s="40" t="s">
        <v>1</v>
      </c>
    </row>
    <row r="27" ht="34" customHeight="1" spans="1:10" x14ac:dyDescent="0.25">
      <c r="A27" s="41" t="s">
        <v>1377</v>
      </c>
      <c r="B27" s="20" t="s">
        <v>43</v>
      </c>
      <c r="C27" s="42" t="s">
        <v>520</v>
      </c>
      <c r="D27" s="24" t="s">
        <v>521</v>
      </c>
      <c r="E27" s="20" t="s">
        <v>392</v>
      </c>
      <c r="F27" s="43" t="s">
        <v>522</v>
      </c>
      <c r="G27" s="38" t="s">
        <v>20</v>
      </c>
      <c r="H27" s="38" t="s">
        <v>1</v>
      </c>
      <c r="I27" s="39"/>
      <c r="J27" s="40" t="s">
        <v>1</v>
      </c>
    </row>
    <row r="28" ht="34" customHeight="1" spans="1:10" x14ac:dyDescent="0.25">
      <c r="A28" s="41" t="s">
        <v>1378</v>
      </c>
      <c r="B28" s="20" t="s">
        <v>43</v>
      </c>
      <c r="C28" s="42" t="s">
        <v>524</v>
      </c>
      <c r="D28" s="24" t="s">
        <v>525</v>
      </c>
      <c r="E28" s="20" t="s">
        <v>392</v>
      </c>
      <c r="F28" s="43" t="s">
        <v>526</v>
      </c>
      <c r="G28" s="38" t="s">
        <v>20</v>
      </c>
      <c r="H28" s="38" t="s">
        <v>1</v>
      </c>
      <c r="I28" s="39"/>
      <c r="J28" s="40" t="s">
        <v>1</v>
      </c>
    </row>
    <row r="29" ht="34" customHeight="1" spans="1:10" x14ac:dyDescent="0.25">
      <c r="A29" s="41" t="s">
        <v>1379</v>
      </c>
      <c r="B29" s="20" t="s">
        <v>43</v>
      </c>
      <c r="C29" s="42" t="s">
        <v>893</v>
      </c>
      <c r="D29" s="24" t="s">
        <v>894</v>
      </c>
      <c r="E29" s="20" t="s">
        <v>392</v>
      </c>
      <c r="F29" s="43" t="s">
        <v>895</v>
      </c>
      <c r="G29" s="38" t="s">
        <v>20</v>
      </c>
      <c r="H29" s="38" t="s">
        <v>1</v>
      </c>
      <c r="I29" s="39"/>
      <c r="J29" s="40" t="s">
        <v>1</v>
      </c>
    </row>
    <row r="30" ht="20" customHeight="1" spans="1:10" x14ac:dyDescent="0.25">
      <c r="A30" s="41" t="s">
        <v>1380</v>
      </c>
      <c r="B30" s="20" t="s">
        <v>43</v>
      </c>
      <c r="C30" s="42" t="s">
        <v>1381</v>
      </c>
      <c r="D30" s="24" t="s">
        <v>1382</v>
      </c>
      <c r="E30" s="20" t="s">
        <v>392</v>
      </c>
      <c r="F30" s="43" t="s">
        <v>1383</v>
      </c>
      <c r="G30" s="38" t="s">
        <v>20</v>
      </c>
      <c r="H30" s="38" t="s">
        <v>1</v>
      </c>
      <c r="I30" s="39"/>
      <c r="J30" s="40" t="s">
        <v>1</v>
      </c>
    </row>
    <row r="31" ht="48" customHeight="1" spans="1:10" x14ac:dyDescent="0.25">
      <c r="A31" s="41" t="s">
        <v>1384</v>
      </c>
      <c r="B31" s="20" t="s">
        <v>45</v>
      </c>
      <c r="C31" s="42" t="s">
        <v>536</v>
      </c>
      <c r="D31" s="24" t="s">
        <v>537</v>
      </c>
      <c r="E31" s="20" t="s">
        <v>295</v>
      </c>
      <c r="F31" s="43" t="s">
        <v>538</v>
      </c>
      <c r="G31" s="38" t="s">
        <v>20</v>
      </c>
      <c r="H31" s="38" t="s">
        <v>1</v>
      </c>
      <c r="I31" s="39"/>
      <c r="J31" s="40" t="s">
        <v>1</v>
      </c>
    </row>
    <row r="32" ht="34" customHeight="1" spans="1:10" x14ac:dyDescent="0.25">
      <c r="A32" s="41" t="s">
        <v>1385</v>
      </c>
      <c r="B32" s="20" t="s">
        <v>45</v>
      </c>
      <c r="C32" s="42" t="s">
        <v>540</v>
      </c>
      <c r="D32" s="24" t="s">
        <v>1386</v>
      </c>
      <c r="E32" s="20" t="s">
        <v>295</v>
      </c>
      <c r="F32" s="43" t="s">
        <v>542</v>
      </c>
      <c r="G32" s="38" t="s">
        <v>20</v>
      </c>
      <c r="H32" s="38" t="s">
        <v>1</v>
      </c>
      <c r="I32" s="39"/>
      <c r="J32" s="40" t="s">
        <v>1</v>
      </c>
    </row>
    <row r="33" ht="34" customHeight="1" spans="1:10" x14ac:dyDescent="0.25">
      <c r="A33" s="41" t="s">
        <v>1387</v>
      </c>
      <c r="B33" s="20" t="s">
        <v>45</v>
      </c>
      <c r="C33" s="42" t="s">
        <v>544</v>
      </c>
      <c r="D33" s="24" t="s">
        <v>545</v>
      </c>
      <c r="E33" s="20" t="s">
        <v>295</v>
      </c>
      <c r="F33" s="43" t="s">
        <v>546</v>
      </c>
      <c r="G33" s="38" t="s">
        <v>20</v>
      </c>
      <c r="H33" s="38" t="s">
        <v>1</v>
      </c>
      <c r="I33" s="39"/>
      <c r="J33" s="40" t="s">
        <v>1</v>
      </c>
    </row>
    <row r="34" ht="34" customHeight="1" spans="1:10" x14ac:dyDescent="0.25">
      <c r="A34" s="41" t="s">
        <v>1388</v>
      </c>
      <c r="B34" s="20" t="s">
        <v>45</v>
      </c>
      <c r="C34" s="42" t="s">
        <v>548</v>
      </c>
      <c r="D34" s="24" t="s">
        <v>1389</v>
      </c>
      <c r="E34" s="20" t="s">
        <v>550</v>
      </c>
      <c r="F34" s="43" t="s">
        <v>551</v>
      </c>
      <c r="G34" s="38" t="s">
        <v>20</v>
      </c>
      <c r="H34" s="38" t="s">
        <v>1</v>
      </c>
      <c r="I34" s="39"/>
      <c r="J34" s="40" t="s">
        <v>1</v>
      </c>
    </row>
    <row r="35" ht="34" customHeight="1" spans="1:10" x14ac:dyDescent="0.25">
      <c r="A35" s="33" t="s">
        <v>1390</v>
      </c>
      <c r="B35" s="34" t="s">
        <v>47</v>
      </c>
      <c r="C35" s="35" t="s">
        <v>289</v>
      </c>
      <c r="D35" s="36" t="s">
        <v>1391</v>
      </c>
      <c r="E35" s="34" t="s">
        <v>290</v>
      </c>
      <c r="F35" s="37" t="s">
        <v>291</v>
      </c>
      <c r="G35" s="38" t="s">
        <v>20</v>
      </c>
      <c r="H35" s="38" t="s">
        <v>1</v>
      </c>
      <c r="I35" s="39"/>
      <c r="J35" s="40" t="s">
        <v>1</v>
      </c>
    </row>
    <row r="36" ht="34" customHeight="1" spans="1:10" x14ac:dyDescent="0.25">
      <c r="A36" s="33" t="s">
        <v>1392</v>
      </c>
      <c r="B36" s="34" t="s">
        <v>47</v>
      </c>
      <c r="C36" s="35" t="s">
        <v>425</v>
      </c>
      <c r="D36" s="36" t="s">
        <v>1393</v>
      </c>
      <c r="E36" s="34" t="s">
        <v>648</v>
      </c>
      <c r="F36" s="37" t="s">
        <v>556</v>
      </c>
      <c r="G36" s="38" t="s">
        <v>20</v>
      </c>
      <c r="H36" s="38" t="s">
        <v>1</v>
      </c>
      <c r="I36" s="39"/>
      <c r="J36" s="40" t="s">
        <v>1</v>
      </c>
    </row>
    <row r="37" ht="34" customHeight="1" spans="1:10" x14ac:dyDescent="0.25">
      <c r="A37" s="33" t="s">
        <v>1394</v>
      </c>
      <c r="B37" s="34" t="s">
        <v>47</v>
      </c>
      <c r="C37" s="35" t="s">
        <v>1395</v>
      </c>
      <c r="D37" s="36" t="s">
        <v>1396</v>
      </c>
      <c r="E37" s="34" t="s">
        <v>295</v>
      </c>
      <c r="F37" s="37" t="s">
        <v>560</v>
      </c>
      <c r="G37" s="38" t="s">
        <v>20</v>
      </c>
      <c r="H37" s="38" t="s">
        <v>1</v>
      </c>
      <c r="I37" s="39"/>
      <c r="J37" s="40" t="s">
        <v>1</v>
      </c>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sheetData>
  <autoFilter ref="A8:J37"/>
  <mergeCells count="6">
    <mergeCell ref="A1:I1"/>
    <mergeCell ref="B2:J2"/>
    <mergeCell ref="B3:J3"/>
    <mergeCell ref="B4:J4"/>
    <mergeCell ref="B5:J5"/>
    <mergeCell ref="A7:J7"/>
  </mergeCells>
  <conditionalFormatting sqref="J6">
    <cfRule type="cellIs" dxfId="202" priority="1" operator="equal">
      <formula>"Done"</formula>
    </cfRule>
    <cfRule type="cellIs" dxfId="203" priority="2" operator="equal">
      <formula>"Complete"</formula>
    </cfRule>
    <cfRule type="cellIs" dxfId="204" priority="3" operator="equal">
      <formula>"In progress"</formula>
    </cfRule>
    <cfRule type="cellIs" dxfId="205" priority="4" operator="equal">
      <formula>"Blocked"</formula>
    </cfRule>
    <cfRule type="cellIs" dxfId="206" priority="5" operator="equal">
      <formula>"N/A"</formula>
    </cfRule>
    <cfRule type="cellIs" dxfId="207" priority="6" operator="equal">
      <formula>"Decided"</formula>
    </cfRule>
    <cfRule type="cellIs" dxfId="208" priority="7" operator="equal">
      <formula>"Open"</formula>
    </cfRule>
  </conditionalFormatting>
  <conditionalFormatting sqref="A7">
    <cfRule type="containsText" dxfId="209" priority="8">
      <formula>NOT(ISERROR(SEARCH("LOCKED",A7)))</formula>
    </cfRule>
    <cfRule type="containsText" dxfId="210" priority="9">
      <formula>NOT(ISERROR(SEARCH("READY",A7)))</formula>
    </cfRule>
  </conditionalFormatting>
  <conditionalFormatting sqref="G9:G400">
    <cfRule type="cellIs" dxfId="211" priority="10" operator="equal">
      <formula>"Done"</formula>
    </cfRule>
    <cfRule type="cellIs" dxfId="212" priority="11" operator="equal">
      <formula>"Complete"</formula>
    </cfRule>
    <cfRule type="cellIs" dxfId="213" priority="12" operator="equal">
      <formula>"In progress"</formula>
    </cfRule>
    <cfRule type="cellIs" dxfId="214" priority="13" operator="equal">
      <formula>"Blocked"</formula>
    </cfRule>
    <cfRule type="cellIs" dxfId="215" priority="14" operator="equal">
      <formula>"N/A"</formula>
    </cfRule>
    <cfRule type="cellIs" dxfId="216" priority="15" operator="equal">
      <formula>"Decided"</formula>
    </cfRule>
    <cfRule type="cellIs" dxfId="217" priority="16" operator="equal">
      <formula>"Open"</formula>
    </cfRule>
  </conditionalFormatting>
  <dataValidations count="4">
    <dataValidation type="list" allowBlank="1" showErrorMessage="1" errorTitle="Status" error="Choose a value from the list." sqref="G10:G52">
      <formula1>"Not started,In progress,Blocked,Done,N/A"</formula1>
    </dataValidation>
    <dataValidation type="list" allowBlank="1" showErrorMessage="1" errorTitle="Status" error="Choose a value from the list." sqref="G9:G52">
      <formula1>"Not started,In progress,Blocked,Done,N/A"</formula1>
    </dataValidation>
    <dataValidation type="date" operator="greaterThan" allowBlank="1" showErrorMessage="1" errorTitle="Date done" error="Enter a date (yyyy-mm-dd)." sqref="I10:I52">
      <formula1>46023</formula1>
    </dataValidation>
    <dataValidation type="date" operator="greaterThan" allowBlank="1" showErrorMessage="1" errorTitle="Date done" error="Enter a date (yyyy-mm-dd)." sqref="I9:I52">
      <formula1>46023</formula1>
    </dataValidation>
  </dataValidations>
  <hyperlinks>
    <hyperlink ref="J1" r:id="rId1" location="#'Dashboard'!A1"/>
  </hyperlinks>
  <pageSetup paperSize="9" orientation="landscape"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0"/>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1397</v>
      </c>
      <c r="B1" s="27"/>
      <c r="C1" s="27"/>
      <c r="D1" s="27"/>
      <c r="E1" s="27"/>
      <c r="F1" s="27"/>
      <c r="G1" s="27"/>
      <c r="H1" s="27"/>
      <c r="I1" s="27"/>
      <c r="J1" s="28" t="s">
        <v>202</v>
      </c>
    </row>
    <row r="2" ht="17" customHeight="1" spans="1:10" x14ac:dyDescent="0.25">
      <c r="A2" s="29" t="s">
        <v>203</v>
      </c>
      <c r="B2" s="6" t="s">
        <v>1398</v>
      </c>
      <c r="C2" s="6"/>
      <c r="D2" s="6"/>
      <c r="E2" s="6"/>
      <c r="F2" s="6"/>
      <c r="G2" s="6"/>
      <c r="H2" s="6"/>
      <c r="I2" s="6"/>
      <c r="J2" s="6"/>
    </row>
    <row r="3" ht="17" customHeight="1" spans="1:10" x14ac:dyDescent="0.25">
      <c r="A3" s="29" t="s">
        <v>205</v>
      </c>
      <c r="B3" s="6" t="s">
        <v>1399</v>
      </c>
      <c r="C3" s="6"/>
      <c r="D3" s="6"/>
      <c r="E3" s="6"/>
      <c r="F3" s="6"/>
      <c r="G3" s="6"/>
      <c r="H3" s="6"/>
      <c r="I3" s="6"/>
      <c r="J3" s="6"/>
    </row>
    <row r="4" ht="17" customHeight="1" spans="1:10" x14ac:dyDescent="0.25">
      <c r="A4" s="29" t="s">
        <v>207</v>
      </c>
      <c r="B4" s="6" t="s">
        <v>1400</v>
      </c>
      <c r="C4" s="6"/>
      <c r="D4" s="6"/>
      <c r="E4" s="6"/>
      <c r="F4" s="6"/>
      <c r="G4" s="6"/>
      <c r="H4" s="6"/>
      <c r="I4" s="6"/>
      <c r="J4" s="6"/>
    </row>
    <row r="5" ht="17" customHeight="1" spans="1:10" x14ac:dyDescent="0.25">
      <c r="A5" s="29" t="s">
        <v>98</v>
      </c>
      <c r="B5" s="2" t="s">
        <v>169</v>
      </c>
      <c r="C5" s="2"/>
      <c r="D5" s="2"/>
      <c r="E5" s="2"/>
      <c r="F5" s="2"/>
      <c r="G5" s="2"/>
      <c r="H5" s="2"/>
      <c r="I5" s="2"/>
      <c r="J5" s="2"/>
    </row>
    <row r="6" spans="1:10" x14ac:dyDescent="0.25">
      <c r="A6" s="17" t="s">
        <v>92</v>
      </c>
      <c r="B6" s="30">
        <f>IF(D6=0,0,F6/D6)</f>
        <v>0</v>
      </c>
      <c r="C6" s="17" t="s">
        <v>91</v>
      </c>
      <c r="D6" s="31">
        <f>COUNTA(C9:C400)</f>
        <v>27</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IF('M13 Observation'!$B$6=1,"READY: M13 is complete. Work the steps in order, 0 Gate in to 8 Gate out.","LOCKED: finish M13 Observation first. Do not start work on this sheet.")</f>
        <v>LOCKED: finish M13 Observation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1401</v>
      </c>
      <c r="B9" s="34" t="s">
        <v>31</v>
      </c>
      <c r="C9" s="35" t="s">
        <v>1402</v>
      </c>
      <c r="D9" s="36" t="s">
        <v>1403</v>
      </c>
      <c r="E9" s="34" t="s">
        <v>290</v>
      </c>
      <c r="F9" s="37" t="s">
        <v>304</v>
      </c>
      <c r="G9" s="38" t="s">
        <v>20</v>
      </c>
      <c r="H9" s="38" t="s">
        <v>1</v>
      </c>
      <c r="I9" s="39"/>
      <c r="J9" s="40" t="s">
        <v>1</v>
      </c>
    </row>
    <row r="10" ht="34" customHeight="1" spans="1:10" x14ac:dyDescent="0.25">
      <c r="A10" s="33" t="s">
        <v>1404</v>
      </c>
      <c r="B10" s="34" t="s">
        <v>31</v>
      </c>
      <c r="C10" s="35" t="s">
        <v>441</v>
      </c>
      <c r="D10" s="36" t="s">
        <v>1405</v>
      </c>
      <c r="E10" s="34" t="s">
        <v>443</v>
      </c>
      <c r="F10" s="37" t="s">
        <v>444</v>
      </c>
      <c r="G10" s="38" t="s">
        <v>20</v>
      </c>
      <c r="H10" s="38" t="s">
        <v>1</v>
      </c>
      <c r="I10" s="39"/>
      <c r="J10" s="40" t="s">
        <v>1</v>
      </c>
    </row>
    <row r="11" ht="34" customHeight="1" spans="1:10" x14ac:dyDescent="0.25">
      <c r="A11" s="33" t="s">
        <v>1406</v>
      </c>
      <c r="B11" s="34" t="s">
        <v>31</v>
      </c>
      <c r="C11" s="35" t="s">
        <v>306</v>
      </c>
      <c r="D11" s="36" t="s">
        <v>1407</v>
      </c>
      <c r="E11" s="34" t="s">
        <v>308</v>
      </c>
      <c r="F11" s="37" t="s">
        <v>309</v>
      </c>
      <c r="G11" s="38" t="s">
        <v>20</v>
      </c>
      <c r="H11" s="38" t="s">
        <v>1</v>
      </c>
      <c r="I11" s="39"/>
      <c r="J11" s="40" t="s">
        <v>1</v>
      </c>
    </row>
    <row r="12" ht="48" customHeight="1" spans="1:10" x14ac:dyDescent="0.25">
      <c r="A12" s="41" t="s">
        <v>1408</v>
      </c>
      <c r="B12" s="20" t="s">
        <v>33</v>
      </c>
      <c r="C12" s="42" t="s">
        <v>448</v>
      </c>
      <c r="D12" s="24" t="s">
        <v>1409</v>
      </c>
      <c r="E12" s="20" t="s">
        <v>295</v>
      </c>
      <c r="F12" s="43" t="s">
        <v>1410</v>
      </c>
      <c r="G12" s="38" t="s">
        <v>20</v>
      </c>
      <c r="H12" s="38" t="s">
        <v>1</v>
      </c>
      <c r="I12" s="39"/>
      <c r="J12" s="40" t="s">
        <v>1</v>
      </c>
    </row>
    <row r="13" ht="48" customHeight="1" spans="1:10" x14ac:dyDescent="0.25">
      <c r="A13" s="41" t="s">
        <v>1411</v>
      </c>
      <c r="B13" s="20" t="s">
        <v>33</v>
      </c>
      <c r="C13" s="42" t="s">
        <v>456</v>
      </c>
      <c r="D13" s="24" t="s">
        <v>457</v>
      </c>
      <c r="E13" s="20" t="s">
        <v>295</v>
      </c>
      <c r="F13" s="43" t="s">
        <v>458</v>
      </c>
      <c r="G13" s="38" t="s">
        <v>20</v>
      </c>
      <c r="H13" s="38" t="s">
        <v>1</v>
      </c>
      <c r="I13" s="39"/>
      <c r="J13" s="40" t="s">
        <v>1</v>
      </c>
    </row>
    <row r="14" ht="48" customHeight="1" spans="1:10" x14ac:dyDescent="0.25">
      <c r="A14" s="41" t="s">
        <v>1412</v>
      </c>
      <c r="B14" s="20" t="s">
        <v>33</v>
      </c>
      <c r="C14" s="42" t="s">
        <v>460</v>
      </c>
      <c r="D14" s="24" t="s">
        <v>1413</v>
      </c>
      <c r="E14" s="20" t="s">
        <v>295</v>
      </c>
      <c r="F14" s="43" t="s">
        <v>462</v>
      </c>
      <c r="G14" s="38" t="s">
        <v>20</v>
      </c>
      <c r="H14" s="38" t="s">
        <v>1</v>
      </c>
      <c r="I14" s="39"/>
      <c r="J14" s="40" t="s">
        <v>1</v>
      </c>
    </row>
    <row r="15" ht="20" customHeight="1" spans="1:10" x14ac:dyDescent="0.25">
      <c r="A15" s="41" t="s">
        <v>1414</v>
      </c>
      <c r="B15" s="20" t="s">
        <v>35</v>
      </c>
      <c r="C15" s="42" t="s">
        <v>1415</v>
      </c>
      <c r="D15" s="24" t="s">
        <v>1416</v>
      </c>
      <c r="E15" s="20" t="s">
        <v>295</v>
      </c>
      <c r="F15" s="43" t="s">
        <v>1417</v>
      </c>
      <c r="G15" s="38" t="s">
        <v>20</v>
      </c>
      <c r="H15" s="38" t="s">
        <v>1</v>
      </c>
      <c r="I15" s="39"/>
      <c r="J15" s="40" t="s">
        <v>1</v>
      </c>
    </row>
    <row r="16" ht="34" customHeight="1" spans="1:10" x14ac:dyDescent="0.25">
      <c r="A16" s="41" t="s">
        <v>1418</v>
      </c>
      <c r="B16" s="20" t="s">
        <v>35</v>
      </c>
      <c r="C16" s="42" t="s">
        <v>1419</v>
      </c>
      <c r="D16" s="24" t="s">
        <v>1420</v>
      </c>
      <c r="E16" s="20" t="s">
        <v>295</v>
      </c>
      <c r="F16" s="43" t="s">
        <v>1421</v>
      </c>
      <c r="G16" s="38" t="s">
        <v>20</v>
      </c>
      <c r="H16" s="38" t="s">
        <v>1</v>
      </c>
      <c r="I16" s="39"/>
      <c r="J16" s="40" t="s">
        <v>1</v>
      </c>
    </row>
    <row r="17" ht="20" customHeight="1" spans="1:10" x14ac:dyDescent="0.25">
      <c r="A17" s="41" t="s">
        <v>1422</v>
      </c>
      <c r="B17" s="20" t="s">
        <v>35</v>
      </c>
      <c r="C17" s="42" t="s">
        <v>1423</v>
      </c>
      <c r="D17" s="24" t="s">
        <v>1424</v>
      </c>
      <c r="E17" s="20" t="s">
        <v>295</v>
      </c>
      <c r="F17" s="43" t="s">
        <v>1425</v>
      </c>
      <c r="G17" s="38" t="s">
        <v>20</v>
      </c>
      <c r="H17" s="38" t="s">
        <v>1</v>
      </c>
      <c r="I17" s="39"/>
      <c r="J17" s="40" t="s">
        <v>1</v>
      </c>
    </row>
    <row r="18" ht="20" customHeight="1" spans="1:10" x14ac:dyDescent="0.25">
      <c r="A18" s="41" t="s">
        <v>1426</v>
      </c>
      <c r="B18" s="20" t="s">
        <v>35</v>
      </c>
      <c r="C18" s="42" t="s">
        <v>1427</v>
      </c>
      <c r="D18" s="24" t="s">
        <v>1428</v>
      </c>
      <c r="E18" s="20" t="s">
        <v>295</v>
      </c>
      <c r="F18" s="43" t="s">
        <v>1429</v>
      </c>
      <c r="G18" s="38" t="s">
        <v>20</v>
      </c>
      <c r="H18" s="38" t="s">
        <v>1</v>
      </c>
      <c r="I18" s="39"/>
      <c r="J18" s="40" t="s">
        <v>1</v>
      </c>
    </row>
    <row r="19" ht="34" customHeight="1" spans="1:10" x14ac:dyDescent="0.25">
      <c r="A19" s="41" t="s">
        <v>1430</v>
      </c>
      <c r="B19" s="20" t="s">
        <v>35</v>
      </c>
      <c r="C19" s="42" t="s">
        <v>1431</v>
      </c>
      <c r="D19" s="24" t="s">
        <v>1432</v>
      </c>
      <c r="E19" s="20" t="s">
        <v>295</v>
      </c>
      <c r="F19" s="43" t="s">
        <v>1433</v>
      </c>
      <c r="G19" s="38" t="s">
        <v>20</v>
      </c>
      <c r="H19" s="38" t="s">
        <v>1</v>
      </c>
      <c r="I19" s="39"/>
      <c r="J19" s="40" t="s">
        <v>1</v>
      </c>
    </row>
    <row r="20" ht="34" customHeight="1" spans="1:10" x14ac:dyDescent="0.25">
      <c r="A20" s="41" t="s">
        <v>1434</v>
      </c>
      <c r="B20" s="20" t="s">
        <v>35</v>
      </c>
      <c r="C20" s="42" t="s">
        <v>1435</v>
      </c>
      <c r="D20" s="24" t="s">
        <v>1436</v>
      </c>
      <c r="E20" s="20" t="s">
        <v>295</v>
      </c>
      <c r="F20" s="43" t="s">
        <v>1437</v>
      </c>
      <c r="G20" s="38" t="s">
        <v>20</v>
      </c>
      <c r="H20" s="38" t="s">
        <v>1</v>
      </c>
      <c r="I20" s="39"/>
      <c r="J20" s="40" t="s">
        <v>1</v>
      </c>
    </row>
    <row r="21" ht="34" customHeight="1" spans="1:10" x14ac:dyDescent="0.25">
      <c r="A21" s="41" t="s">
        <v>1438</v>
      </c>
      <c r="B21" s="20" t="s">
        <v>37</v>
      </c>
      <c r="C21" s="42" t="s">
        <v>1439</v>
      </c>
      <c r="D21" s="24" t="s">
        <v>1440</v>
      </c>
      <c r="E21" s="20" t="s">
        <v>295</v>
      </c>
      <c r="F21" s="43" t="s">
        <v>610</v>
      </c>
      <c r="G21" s="38" t="s">
        <v>20</v>
      </c>
      <c r="H21" s="38" t="s">
        <v>1</v>
      </c>
      <c r="I21" s="39"/>
      <c r="J21" s="40" t="s">
        <v>1</v>
      </c>
    </row>
    <row r="22" ht="20" customHeight="1" spans="1:10" x14ac:dyDescent="0.25">
      <c r="A22" s="41" t="s">
        <v>1441</v>
      </c>
      <c r="B22" s="20" t="s">
        <v>39</v>
      </c>
      <c r="C22" s="42" t="s">
        <v>1442</v>
      </c>
      <c r="D22" s="24" t="s">
        <v>1443</v>
      </c>
      <c r="E22" s="20" t="s">
        <v>295</v>
      </c>
      <c r="F22" s="43" t="s">
        <v>1444</v>
      </c>
      <c r="G22" s="38" t="s">
        <v>20</v>
      </c>
      <c r="H22" s="38" t="s">
        <v>1</v>
      </c>
      <c r="I22" s="39"/>
      <c r="J22" s="40" t="s">
        <v>1</v>
      </c>
    </row>
    <row r="23" ht="34" customHeight="1" spans="1:10" x14ac:dyDescent="0.25">
      <c r="A23" s="41" t="s">
        <v>1445</v>
      </c>
      <c r="B23" s="20" t="s">
        <v>41</v>
      </c>
      <c r="C23" s="42" t="s">
        <v>1446</v>
      </c>
      <c r="D23" s="24" t="s">
        <v>1447</v>
      </c>
      <c r="E23" s="20" t="s">
        <v>264</v>
      </c>
      <c r="F23" s="43" t="s">
        <v>1448</v>
      </c>
      <c r="G23" s="38" t="s">
        <v>20</v>
      </c>
      <c r="H23" s="38" t="s">
        <v>1</v>
      </c>
      <c r="I23" s="39"/>
      <c r="J23" s="40" t="s">
        <v>1</v>
      </c>
    </row>
    <row r="24" ht="34" customHeight="1" spans="1:10" x14ac:dyDescent="0.25">
      <c r="A24" s="41" t="s">
        <v>1449</v>
      </c>
      <c r="B24" s="20" t="s">
        <v>43</v>
      </c>
      <c r="C24" s="42" t="s">
        <v>516</v>
      </c>
      <c r="D24" s="24" t="s">
        <v>517</v>
      </c>
      <c r="E24" s="20" t="s">
        <v>295</v>
      </c>
      <c r="F24" s="43" t="s">
        <v>518</v>
      </c>
      <c r="G24" s="38" t="s">
        <v>20</v>
      </c>
      <c r="H24" s="38" t="s">
        <v>1</v>
      </c>
      <c r="I24" s="39"/>
      <c r="J24" s="40" t="s">
        <v>1</v>
      </c>
    </row>
    <row r="25" ht="34" customHeight="1" spans="1:10" x14ac:dyDescent="0.25">
      <c r="A25" s="41" t="s">
        <v>1450</v>
      </c>
      <c r="B25" s="20" t="s">
        <v>43</v>
      </c>
      <c r="C25" s="42" t="s">
        <v>520</v>
      </c>
      <c r="D25" s="24" t="s">
        <v>521</v>
      </c>
      <c r="E25" s="20" t="s">
        <v>392</v>
      </c>
      <c r="F25" s="43" t="s">
        <v>522</v>
      </c>
      <c r="G25" s="38" t="s">
        <v>20</v>
      </c>
      <c r="H25" s="38" t="s">
        <v>1</v>
      </c>
      <c r="I25" s="39"/>
      <c r="J25" s="40" t="s">
        <v>1</v>
      </c>
    </row>
    <row r="26" ht="34" customHeight="1" spans="1:10" x14ac:dyDescent="0.25">
      <c r="A26" s="41" t="s">
        <v>1451</v>
      </c>
      <c r="B26" s="20" t="s">
        <v>43</v>
      </c>
      <c r="C26" s="42" t="s">
        <v>524</v>
      </c>
      <c r="D26" s="24" t="s">
        <v>525</v>
      </c>
      <c r="E26" s="20" t="s">
        <v>392</v>
      </c>
      <c r="F26" s="43" t="s">
        <v>526</v>
      </c>
      <c r="G26" s="38" t="s">
        <v>20</v>
      </c>
      <c r="H26" s="38" t="s">
        <v>1</v>
      </c>
      <c r="I26" s="39"/>
      <c r="J26" s="40" t="s">
        <v>1</v>
      </c>
    </row>
    <row r="27" ht="34" customHeight="1" spans="1:10" x14ac:dyDescent="0.25">
      <c r="A27" s="41" t="s">
        <v>1452</v>
      </c>
      <c r="B27" s="20" t="s">
        <v>43</v>
      </c>
      <c r="C27" s="42" t="s">
        <v>893</v>
      </c>
      <c r="D27" s="24" t="s">
        <v>894</v>
      </c>
      <c r="E27" s="20" t="s">
        <v>392</v>
      </c>
      <c r="F27" s="43" t="s">
        <v>895</v>
      </c>
      <c r="G27" s="38" t="s">
        <v>20</v>
      </c>
      <c r="H27" s="38" t="s">
        <v>1</v>
      </c>
      <c r="I27" s="39"/>
      <c r="J27" s="40" t="s">
        <v>1</v>
      </c>
    </row>
    <row r="28" ht="34" customHeight="1" spans="1:10" x14ac:dyDescent="0.25">
      <c r="A28" s="41" t="s">
        <v>1453</v>
      </c>
      <c r="B28" s="20" t="s">
        <v>43</v>
      </c>
      <c r="C28" s="42" t="s">
        <v>1454</v>
      </c>
      <c r="D28" s="24" t="s">
        <v>1455</v>
      </c>
      <c r="E28" s="20" t="s">
        <v>392</v>
      </c>
      <c r="F28" s="43" t="s">
        <v>1456</v>
      </c>
      <c r="G28" s="38" t="s">
        <v>20</v>
      </c>
      <c r="H28" s="38" t="s">
        <v>1</v>
      </c>
      <c r="I28" s="39"/>
      <c r="J28" s="40" t="s">
        <v>1</v>
      </c>
    </row>
    <row r="29" ht="48" customHeight="1" spans="1:10" x14ac:dyDescent="0.25">
      <c r="A29" s="41" t="s">
        <v>1457</v>
      </c>
      <c r="B29" s="20" t="s">
        <v>45</v>
      </c>
      <c r="C29" s="42" t="s">
        <v>536</v>
      </c>
      <c r="D29" s="24" t="s">
        <v>537</v>
      </c>
      <c r="E29" s="20" t="s">
        <v>295</v>
      </c>
      <c r="F29" s="43" t="s">
        <v>538</v>
      </c>
      <c r="G29" s="38" t="s">
        <v>20</v>
      </c>
      <c r="H29" s="38" t="s">
        <v>1</v>
      </c>
      <c r="I29" s="39"/>
      <c r="J29" s="40" t="s">
        <v>1</v>
      </c>
    </row>
    <row r="30" ht="34" customHeight="1" spans="1:10" x14ac:dyDescent="0.25">
      <c r="A30" s="41" t="s">
        <v>1458</v>
      </c>
      <c r="B30" s="20" t="s">
        <v>45</v>
      </c>
      <c r="C30" s="42" t="s">
        <v>540</v>
      </c>
      <c r="D30" s="24" t="s">
        <v>1459</v>
      </c>
      <c r="E30" s="20" t="s">
        <v>295</v>
      </c>
      <c r="F30" s="43" t="s">
        <v>542</v>
      </c>
      <c r="G30" s="38" t="s">
        <v>20</v>
      </c>
      <c r="H30" s="38" t="s">
        <v>1</v>
      </c>
      <c r="I30" s="39"/>
      <c r="J30" s="40" t="s">
        <v>1</v>
      </c>
    </row>
    <row r="31" ht="34" customHeight="1" spans="1:10" x14ac:dyDescent="0.25">
      <c r="A31" s="41" t="s">
        <v>1460</v>
      </c>
      <c r="B31" s="20" t="s">
        <v>45</v>
      </c>
      <c r="C31" s="42" t="s">
        <v>544</v>
      </c>
      <c r="D31" s="24" t="s">
        <v>545</v>
      </c>
      <c r="E31" s="20" t="s">
        <v>295</v>
      </c>
      <c r="F31" s="43" t="s">
        <v>546</v>
      </c>
      <c r="G31" s="38" t="s">
        <v>20</v>
      </c>
      <c r="H31" s="38" t="s">
        <v>1</v>
      </c>
      <c r="I31" s="39"/>
      <c r="J31" s="40" t="s">
        <v>1</v>
      </c>
    </row>
    <row r="32" ht="34" customHeight="1" spans="1:10" x14ac:dyDescent="0.25">
      <c r="A32" s="41" t="s">
        <v>1461</v>
      </c>
      <c r="B32" s="20" t="s">
        <v>45</v>
      </c>
      <c r="C32" s="42" t="s">
        <v>548</v>
      </c>
      <c r="D32" s="24" t="s">
        <v>1462</v>
      </c>
      <c r="E32" s="20" t="s">
        <v>550</v>
      </c>
      <c r="F32" s="43" t="s">
        <v>551</v>
      </c>
      <c r="G32" s="38" t="s">
        <v>20</v>
      </c>
      <c r="H32" s="38" t="s">
        <v>1</v>
      </c>
      <c r="I32" s="39"/>
      <c r="J32" s="40" t="s">
        <v>1</v>
      </c>
    </row>
    <row r="33" ht="48" customHeight="1" spans="1:10" x14ac:dyDescent="0.25">
      <c r="A33" s="33" t="s">
        <v>1463</v>
      </c>
      <c r="B33" s="34" t="s">
        <v>47</v>
      </c>
      <c r="C33" s="35" t="s">
        <v>289</v>
      </c>
      <c r="D33" s="36" t="s">
        <v>1464</v>
      </c>
      <c r="E33" s="34" t="s">
        <v>290</v>
      </c>
      <c r="F33" s="37" t="s">
        <v>291</v>
      </c>
      <c r="G33" s="38" t="s">
        <v>20</v>
      </c>
      <c r="H33" s="38" t="s">
        <v>1</v>
      </c>
      <c r="I33" s="39"/>
      <c r="J33" s="40" t="s">
        <v>1</v>
      </c>
    </row>
    <row r="34" ht="20" customHeight="1" spans="1:10" x14ac:dyDescent="0.25">
      <c r="A34" s="33" t="s">
        <v>1465</v>
      </c>
      <c r="B34" s="34" t="s">
        <v>47</v>
      </c>
      <c r="C34" s="35" t="s">
        <v>425</v>
      </c>
      <c r="D34" s="36" t="s">
        <v>720</v>
      </c>
      <c r="E34" s="34" t="s">
        <v>290</v>
      </c>
      <c r="F34" s="37" t="s">
        <v>556</v>
      </c>
      <c r="G34" s="38" t="s">
        <v>20</v>
      </c>
      <c r="H34" s="38" t="s">
        <v>1</v>
      </c>
      <c r="I34" s="39"/>
      <c r="J34" s="40" t="s">
        <v>1</v>
      </c>
    </row>
    <row r="35" ht="34" customHeight="1" spans="1:10" x14ac:dyDescent="0.25">
      <c r="A35" s="33" t="s">
        <v>1466</v>
      </c>
      <c r="B35" s="34" t="s">
        <v>47</v>
      </c>
      <c r="C35" s="35" t="s">
        <v>1467</v>
      </c>
      <c r="D35" s="36" t="s">
        <v>1468</v>
      </c>
      <c r="E35" s="34" t="s">
        <v>295</v>
      </c>
      <c r="F35" s="37" t="s">
        <v>560</v>
      </c>
      <c r="G35" s="38" t="s">
        <v>20</v>
      </c>
      <c r="H35" s="38" t="s">
        <v>1</v>
      </c>
      <c r="I35" s="39"/>
      <c r="J35" s="40" t="s">
        <v>1</v>
      </c>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sheetData>
  <autoFilter ref="A8:J35"/>
  <mergeCells count="6">
    <mergeCell ref="A1:I1"/>
    <mergeCell ref="B2:J2"/>
    <mergeCell ref="B3:J3"/>
    <mergeCell ref="B4:J4"/>
    <mergeCell ref="B5:J5"/>
    <mergeCell ref="A7:J7"/>
  </mergeCells>
  <conditionalFormatting sqref="J6">
    <cfRule type="cellIs" dxfId="218" priority="1" operator="equal">
      <formula>"Done"</formula>
    </cfRule>
    <cfRule type="cellIs" dxfId="219" priority="2" operator="equal">
      <formula>"Complete"</formula>
    </cfRule>
    <cfRule type="cellIs" dxfId="220" priority="3" operator="equal">
      <formula>"In progress"</formula>
    </cfRule>
    <cfRule type="cellIs" dxfId="221" priority="4" operator="equal">
      <formula>"Blocked"</formula>
    </cfRule>
    <cfRule type="cellIs" dxfId="222" priority="5" operator="equal">
      <formula>"N/A"</formula>
    </cfRule>
    <cfRule type="cellIs" dxfId="223" priority="6" operator="equal">
      <formula>"Decided"</formula>
    </cfRule>
    <cfRule type="cellIs" dxfId="224" priority="7" operator="equal">
      <formula>"Open"</formula>
    </cfRule>
  </conditionalFormatting>
  <conditionalFormatting sqref="A7">
    <cfRule type="containsText" dxfId="225" priority="8">
      <formula>NOT(ISERROR(SEARCH("LOCKED",A7)))</formula>
    </cfRule>
    <cfRule type="containsText" dxfId="226" priority="9">
      <formula>NOT(ISERROR(SEARCH("READY",A7)))</formula>
    </cfRule>
  </conditionalFormatting>
  <conditionalFormatting sqref="G9:G400">
    <cfRule type="cellIs" dxfId="227" priority="10" operator="equal">
      <formula>"Done"</formula>
    </cfRule>
    <cfRule type="cellIs" dxfId="228" priority="11" operator="equal">
      <formula>"Complete"</formula>
    </cfRule>
    <cfRule type="cellIs" dxfId="229" priority="12" operator="equal">
      <formula>"In progress"</formula>
    </cfRule>
    <cfRule type="cellIs" dxfId="230" priority="13" operator="equal">
      <formula>"Blocked"</formula>
    </cfRule>
    <cfRule type="cellIs" dxfId="231" priority="14" operator="equal">
      <formula>"N/A"</formula>
    </cfRule>
    <cfRule type="cellIs" dxfId="232" priority="15" operator="equal">
      <formula>"Decided"</formula>
    </cfRule>
    <cfRule type="cellIs" dxfId="233" priority="16" operator="equal">
      <formula>"Open"</formula>
    </cfRule>
  </conditionalFormatting>
  <dataValidations count="4">
    <dataValidation type="list" allowBlank="1" showErrorMessage="1" errorTitle="Status" error="Choose a value from the list." sqref="G10:G50">
      <formula1>"Not started,In progress,Blocked,Done,N/A"</formula1>
    </dataValidation>
    <dataValidation type="list" allowBlank="1" showErrorMessage="1" errorTitle="Status" error="Choose a value from the list." sqref="G9:G50">
      <formula1>"Not started,In progress,Blocked,Done,N/A"</formula1>
    </dataValidation>
    <dataValidation type="date" operator="greaterThan" allowBlank="1" showErrorMessage="1" errorTitle="Date done" error="Enter a date (yyyy-mm-dd)." sqref="I10:I50">
      <formula1>46023</formula1>
    </dataValidation>
    <dataValidation type="date" operator="greaterThan" allowBlank="1" showErrorMessage="1" errorTitle="Date done" error="Enter a date (yyyy-mm-dd)." sqref="I9:I50">
      <formula1>46023</formula1>
    </dataValidation>
  </dataValidations>
  <hyperlinks>
    <hyperlink ref="J1" r:id="rId1" location="#'Dashboard'!A1"/>
  </hyperlinks>
  <pageSetup paperSize="9" orientation="landscape"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7"/>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1469</v>
      </c>
      <c r="B1" s="27"/>
      <c r="C1" s="27"/>
      <c r="D1" s="27"/>
      <c r="E1" s="27"/>
      <c r="F1" s="27"/>
      <c r="G1" s="27"/>
      <c r="H1" s="27"/>
      <c r="I1" s="27"/>
      <c r="J1" s="28" t="s">
        <v>202</v>
      </c>
    </row>
    <row r="2" ht="17" customHeight="1" spans="1:10" x14ac:dyDescent="0.25">
      <c r="A2" s="29" t="s">
        <v>203</v>
      </c>
      <c r="B2" s="6" t="s">
        <v>1470</v>
      </c>
      <c r="C2" s="6"/>
      <c r="D2" s="6"/>
      <c r="E2" s="6"/>
      <c r="F2" s="6"/>
      <c r="G2" s="6"/>
      <c r="H2" s="6"/>
      <c r="I2" s="6"/>
      <c r="J2" s="6"/>
    </row>
    <row r="3" ht="17" customHeight="1" spans="1:10" x14ac:dyDescent="0.25">
      <c r="A3" s="29" t="s">
        <v>205</v>
      </c>
      <c r="B3" s="6" t="s">
        <v>1471</v>
      </c>
      <c r="C3" s="6"/>
      <c r="D3" s="6"/>
      <c r="E3" s="6"/>
      <c r="F3" s="6"/>
      <c r="G3" s="6"/>
      <c r="H3" s="6"/>
      <c r="I3" s="6"/>
      <c r="J3" s="6"/>
    </row>
    <row r="4" ht="17" customHeight="1" spans="1:10" x14ac:dyDescent="0.25">
      <c r="A4" s="29" t="s">
        <v>207</v>
      </c>
      <c r="B4" s="6" t="s">
        <v>1472</v>
      </c>
      <c r="C4" s="6"/>
      <c r="D4" s="6"/>
      <c r="E4" s="6"/>
      <c r="F4" s="6"/>
      <c r="G4" s="6"/>
      <c r="H4" s="6"/>
      <c r="I4" s="6"/>
      <c r="J4" s="6"/>
    </row>
    <row r="5" ht="17" customHeight="1" spans="1:10" x14ac:dyDescent="0.25">
      <c r="A5" s="29" t="s">
        <v>98</v>
      </c>
      <c r="B5" s="2" t="s">
        <v>174</v>
      </c>
      <c r="C5" s="2"/>
      <c r="D5" s="2"/>
      <c r="E5" s="2"/>
      <c r="F5" s="2"/>
      <c r="G5" s="2"/>
      <c r="H5" s="2"/>
      <c r="I5" s="2"/>
      <c r="J5" s="2"/>
    </row>
    <row r="6" spans="1:10" x14ac:dyDescent="0.25">
      <c r="A6" s="17" t="s">
        <v>92</v>
      </c>
      <c r="B6" s="30">
        <f>IF(D6=0,0,F6/D6)</f>
        <v>0</v>
      </c>
      <c r="C6" s="17" t="s">
        <v>91</v>
      </c>
      <c r="D6" s="31">
        <f>COUNTA(C9:C400)</f>
        <v>34</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IF('M14 Care Gaps'!$B$6=1,"READY: M14 is complete. Work the steps in order, 0 Gate in to 8 Gate out.","LOCKED: finish M14 Care Gaps first. Do not start work on this sheet.")</f>
        <v>LOCKED: finish M14 Care Gaps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1473</v>
      </c>
      <c r="B9" s="34" t="s">
        <v>31</v>
      </c>
      <c r="C9" s="35" t="s">
        <v>1474</v>
      </c>
      <c r="D9" s="36" t="s">
        <v>1475</v>
      </c>
      <c r="E9" s="34" t="s">
        <v>290</v>
      </c>
      <c r="F9" s="37" t="s">
        <v>304</v>
      </c>
      <c r="G9" s="38" t="s">
        <v>20</v>
      </c>
      <c r="H9" s="38" t="s">
        <v>1</v>
      </c>
      <c r="I9" s="39"/>
      <c r="J9" s="40" t="s">
        <v>1</v>
      </c>
    </row>
    <row r="10" ht="34" customHeight="1" spans="1:10" x14ac:dyDescent="0.25">
      <c r="A10" s="33" t="s">
        <v>1476</v>
      </c>
      <c r="B10" s="34" t="s">
        <v>31</v>
      </c>
      <c r="C10" s="35" t="s">
        <v>441</v>
      </c>
      <c r="D10" s="36" t="s">
        <v>1477</v>
      </c>
      <c r="E10" s="34" t="s">
        <v>443</v>
      </c>
      <c r="F10" s="37" t="s">
        <v>444</v>
      </c>
      <c r="G10" s="38" t="s">
        <v>20</v>
      </c>
      <c r="H10" s="38" t="s">
        <v>1</v>
      </c>
      <c r="I10" s="39"/>
      <c r="J10" s="40" t="s">
        <v>1</v>
      </c>
    </row>
    <row r="11" ht="34" customHeight="1" spans="1:10" x14ac:dyDescent="0.25">
      <c r="A11" s="33" t="s">
        <v>1478</v>
      </c>
      <c r="B11" s="34" t="s">
        <v>31</v>
      </c>
      <c r="C11" s="35" t="s">
        <v>306</v>
      </c>
      <c r="D11" s="36" t="s">
        <v>1479</v>
      </c>
      <c r="E11" s="34" t="s">
        <v>308</v>
      </c>
      <c r="F11" s="37" t="s">
        <v>309</v>
      </c>
      <c r="G11" s="38" t="s">
        <v>20</v>
      </c>
      <c r="H11" s="38" t="s">
        <v>1</v>
      </c>
      <c r="I11" s="39"/>
      <c r="J11" s="40" t="s">
        <v>1</v>
      </c>
    </row>
    <row r="12" ht="48" customHeight="1" spans="1:10" x14ac:dyDescent="0.25">
      <c r="A12" s="41" t="s">
        <v>1480</v>
      </c>
      <c r="B12" s="20" t="s">
        <v>33</v>
      </c>
      <c r="C12" s="42" t="s">
        <v>448</v>
      </c>
      <c r="D12" s="24" t="s">
        <v>1481</v>
      </c>
      <c r="E12" s="20" t="s">
        <v>295</v>
      </c>
      <c r="F12" s="43" t="s">
        <v>1482</v>
      </c>
      <c r="G12" s="38" t="s">
        <v>20</v>
      </c>
      <c r="H12" s="38" t="s">
        <v>1</v>
      </c>
      <c r="I12" s="39"/>
      <c r="J12" s="40" t="s">
        <v>1</v>
      </c>
    </row>
    <row r="13" ht="48" customHeight="1" spans="1:10" x14ac:dyDescent="0.25">
      <c r="A13" s="41" t="s">
        <v>1483</v>
      </c>
      <c r="B13" s="20" t="s">
        <v>33</v>
      </c>
      <c r="C13" s="42" t="s">
        <v>456</v>
      </c>
      <c r="D13" s="24" t="s">
        <v>457</v>
      </c>
      <c r="E13" s="20" t="s">
        <v>295</v>
      </c>
      <c r="F13" s="43" t="s">
        <v>458</v>
      </c>
      <c r="G13" s="38" t="s">
        <v>20</v>
      </c>
      <c r="H13" s="38" t="s">
        <v>1</v>
      </c>
      <c r="I13" s="39"/>
      <c r="J13" s="40" t="s">
        <v>1</v>
      </c>
    </row>
    <row r="14" ht="48" customHeight="1" spans="1:10" x14ac:dyDescent="0.25">
      <c r="A14" s="41" t="s">
        <v>1484</v>
      </c>
      <c r="B14" s="20" t="s">
        <v>33</v>
      </c>
      <c r="C14" s="42" t="s">
        <v>460</v>
      </c>
      <c r="D14" s="24" t="s">
        <v>1485</v>
      </c>
      <c r="E14" s="20" t="s">
        <v>295</v>
      </c>
      <c r="F14" s="43" t="s">
        <v>462</v>
      </c>
      <c r="G14" s="38" t="s">
        <v>20</v>
      </c>
      <c r="H14" s="38" t="s">
        <v>1</v>
      </c>
      <c r="I14" s="39"/>
      <c r="J14" s="40" t="s">
        <v>1</v>
      </c>
    </row>
    <row r="15" ht="48" customHeight="1" spans="1:10" x14ac:dyDescent="0.25">
      <c r="A15" s="41" t="s">
        <v>1486</v>
      </c>
      <c r="B15" s="20" t="s">
        <v>35</v>
      </c>
      <c r="C15" s="42" t="s">
        <v>1487</v>
      </c>
      <c r="D15" s="24" t="s">
        <v>1488</v>
      </c>
      <c r="E15" s="20" t="s">
        <v>295</v>
      </c>
      <c r="F15" s="43" t="s">
        <v>1489</v>
      </c>
      <c r="G15" s="38" t="s">
        <v>20</v>
      </c>
      <c r="H15" s="38" t="s">
        <v>1</v>
      </c>
      <c r="I15" s="39"/>
      <c r="J15" s="40" t="s">
        <v>1</v>
      </c>
    </row>
    <row r="16" ht="34" customHeight="1" spans="1:10" x14ac:dyDescent="0.25">
      <c r="A16" s="41" t="s">
        <v>1490</v>
      </c>
      <c r="B16" s="20" t="s">
        <v>35</v>
      </c>
      <c r="C16" s="42" t="s">
        <v>1491</v>
      </c>
      <c r="D16" s="24" t="s">
        <v>1492</v>
      </c>
      <c r="E16" s="20" t="s">
        <v>295</v>
      </c>
      <c r="F16" s="43" t="s">
        <v>1493</v>
      </c>
      <c r="G16" s="38" t="s">
        <v>20</v>
      </c>
      <c r="H16" s="38" t="s">
        <v>1</v>
      </c>
      <c r="I16" s="39"/>
      <c r="J16" s="40" t="s">
        <v>1</v>
      </c>
    </row>
    <row r="17" ht="34" customHeight="1" spans="1:10" x14ac:dyDescent="0.25">
      <c r="A17" s="41" t="s">
        <v>1494</v>
      </c>
      <c r="B17" s="20" t="s">
        <v>35</v>
      </c>
      <c r="C17" s="42" t="s">
        <v>1495</v>
      </c>
      <c r="D17" s="24" t="s">
        <v>1496</v>
      </c>
      <c r="E17" s="20" t="s">
        <v>295</v>
      </c>
      <c r="F17" s="43" t="s">
        <v>1497</v>
      </c>
      <c r="G17" s="38" t="s">
        <v>20</v>
      </c>
      <c r="H17" s="38" t="s">
        <v>1</v>
      </c>
      <c r="I17" s="39"/>
      <c r="J17" s="40" t="s">
        <v>1</v>
      </c>
    </row>
    <row r="18" ht="34" customHeight="1" spans="1:10" x14ac:dyDescent="0.25">
      <c r="A18" s="41" t="s">
        <v>1498</v>
      </c>
      <c r="B18" s="20" t="s">
        <v>35</v>
      </c>
      <c r="C18" s="42" t="s">
        <v>1499</v>
      </c>
      <c r="D18" s="24" t="s">
        <v>1500</v>
      </c>
      <c r="E18" s="20" t="s">
        <v>295</v>
      </c>
      <c r="F18" s="43" t="s">
        <v>1501</v>
      </c>
      <c r="G18" s="38" t="s">
        <v>20</v>
      </c>
      <c r="H18" s="38" t="s">
        <v>1</v>
      </c>
      <c r="I18" s="39"/>
      <c r="J18" s="40" t="s">
        <v>1</v>
      </c>
    </row>
    <row r="19" ht="34" customHeight="1" spans="1:10" x14ac:dyDescent="0.25">
      <c r="A19" s="41" t="s">
        <v>1502</v>
      </c>
      <c r="B19" s="20" t="s">
        <v>35</v>
      </c>
      <c r="C19" s="42" t="s">
        <v>1503</v>
      </c>
      <c r="D19" s="24" t="s">
        <v>1504</v>
      </c>
      <c r="E19" s="20" t="s">
        <v>359</v>
      </c>
      <c r="F19" s="43" t="s">
        <v>1505</v>
      </c>
      <c r="G19" s="38" t="s">
        <v>20</v>
      </c>
      <c r="H19" s="38" t="s">
        <v>1</v>
      </c>
      <c r="I19" s="39"/>
      <c r="J19" s="40" t="s">
        <v>1</v>
      </c>
    </row>
    <row r="20" ht="34" customHeight="1" spans="1:10" x14ac:dyDescent="0.25">
      <c r="A20" s="41" t="s">
        <v>1506</v>
      </c>
      <c r="B20" s="20" t="s">
        <v>35</v>
      </c>
      <c r="C20" s="42" t="s">
        <v>1507</v>
      </c>
      <c r="D20" s="24" t="s">
        <v>1508</v>
      </c>
      <c r="E20" s="20" t="s">
        <v>295</v>
      </c>
      <c r="F20" s="43" t="s">
        <v>1509</v>
      </c>
      <c r="G20" s="38" t="s">
        <v>20</v>
      </c>
      <c r="H20" s="38" t="s">
        <v>1</v>
      </c>
      <c r="I20" s="39"/>
      <c r="J20" s="40" t="s">
        <v>1</v>
      </c>
    </row>
    <row r="21" ht="34" customHeight="1" spans="1:10" x14ac:dyDescent="0.25">
      <c r="A21" s="41" t="s">
        <v>1510</v>
      </c>
      <c r="B21" s="20" t="s">
        <v>35</v>
      </c>
      <c r="C21" s="42" t="s">
        <v>1511</v>
      </c>
      <c r="D21" s="24" t="s">
        <v>1512</v>
      </c>
      <c r="E21" s="20" t="s">
        <v>295</v>
      </c>
      <c r="F21" s="43" t="s">
        <v>1513</v>
      </c>
      <c r="G21" s="38" t="s">
        <v>20</v>
      </c>
      <c r="H21" s="38" t="s">
        <v>1</v>
      </c>
      <c r="I21" s="39"/>
      <c r="J21" s="40" t="s">
        <v>1</v>
      </c>
    </row>
    <row r="22" ht="34" customHeight="1" spans="1:10" x14ac:dyDescent="0.25">
      <c r="A22" s="41" t="s">
        <v>1514</v>
      </c>
      <c r="B22" s="20" t="s">
        <v>35</v>
      </c>
      <c r="C22" s="42" t="s">
        <v>1515</v>
      </c>
      <c r="D22" s="24" t="s">
        <v>1516</v>
      </c>
      <c r="E22" s="20" t="s">
        <v>295</v>
      </c>
      <c r="F22" s="43" t="s">
        <v>1517</v>
      </c>
      <c r="G22" s="38" t="s">
        <v>20</v>
      </c>
      <c r="H22" s="38" t="s">
        <v>1</v>
      </c>
      <c r="I22" s="39"/>
      <c r="J22" s="40" t="s">
        <v>1</v>
      </c>
    </row>
    <row r="23" ht="34" customHeight="1" spans="1:10" x14ac:dyDescent="0.25">
      <c r="A23" s="41" t="s">
        <v>1518</v>
      </c>
      <c r="B23" s="20" t="s">
        <v>35</v>
      </c>
      <c r="C23" s="42" t="s">
        <v>1519</v>
      </c>
      <c r="D23" s="24" t="s">
        <v>1520</v>
      </c>
      <c r="E23" s="20" t="s">
        <v>443</v>
      </c>
      <c r="F23" s="43" t="s">
        <v>1521</v>
      </c>
      <c r="G23" s="38" t="s">
        <v>20</v>
      </c>
      <c r="H23" s="38" t="s">
        <v>1</v>
      </c>
      <c r="I23" s="39"/>
      <c r="J23" s="40" t="s">
        <v>1</v>
      </c>
    </row>
    <row r="24" ht="20" customHeight="1" spans="1:10" x14ac:dyDescent="0.25">
      <c r="A24" s="41" t="s">
        <v>1522</v>
      </c>
      <c r="B24" s="20" t="s">
        <v>35</v>
      </c>
      <c r="C24" s="42" t="s">
        <v>1523</v>
      </c>
      <c r="D24" s="24" t="s">
        <v>1524</v>
      </c>
      <c r="E24" s="20" t="s">
        <v>295</v>
      </c>
      <c r="F24" s="43" t="s">
        <v>1525</v>
      </c>
      <c r="G24" s="38" t="s">
        <v>20</v>
      </c>
      <c r="H24" s="38" t="s">
        <v>1</v>
      </c>
      <c r="I24" s="39"/>
      <c r="J24" s="40" t="s">
        <v>1</v>
      </c>
    </row>
    <row r="25" ht="34" customHeight="1" spans="1:10" x14ac:dyDescent="0.25">
      <c r="A25" s="41" t="s">
        <v>1526</v>
      </c>
      <c r="B25" s="20" t="s">
        <v>35</v>
      </c>
      <c r="C25" s="42" t="s">
        <v>1527</v>
      </c>
      <c r="D25" s="24" t="s">
        <v>1528</v>
      </c>
      <c r="E25" s="20" t="s">
        <v>295</v>
      </c>
      <c r="F25" s="43" t="s">
        <v>1529</v>
      </c>
      <c r="G25" s="38" t="s">
        <v>20</v>
      </c>
      <c r="H25" s="38" t="s">
        <v>1</v>
      </c>
      <c r="I25" s="39"/>
      <c r="J25" s="40" t="s">
        <v>1</v>
      </c>
    </row>
    <row r="26" ht="34" customHeight="1" spans="1:10" x14ac:dyDescent="0.25">
      <c r="A26" s="41" t="s">
        <v>1530</v>
      </c>
      <c r="B26" s="20" t="s">
        <v>37</v>
      </c>
      <c r="C26" s="42" t="s">
        <v>1531</v>
      </c>
      <c r="D26" s="24" t="s">
        <v>1532</v>
      </c>
      <c r="E26" s="20" t="s">
        <v>295</v>
      </c>
      <c r="F26" s="43" t="s">
        <v>1223</v>
      </c>
      <c r="G26" s="38" t="s">
        <v>20</v>
      </c>
      <c r="H26" s="38" t="s">
        <v>1</v>
      </c>
      <c r="I26" s="39"/>
      <c r="J26" s="40" t="s">
        <v>1</v>
      </c>
    </row>
    <row r="27" ht="48" customHeight="1" spans="1:10" x14ac:dyDescent="0.25">
      <c r="A27" s="41" t="s">
        <v>1533</v>
      </c>
      <c r="B27" s="20" t="s">
        <v>39</v>
      </c>
      <c r="C27" s="42" t="s">
        <v>1534</v>
      </c>
      <c r="D27" s="24" t="s">
        <v>1535</v>
      </c>
      <c r="E27" s="20" t="s">
        <v>295</v>
      </c>
      <c r="F27" s="43" t="s">
        <v>876</v>
      </c>
      <c r="G27" s="38" t="s">
        <v>20</v>
      </c>
      <c r="H27" s="38" t="s">
        <v>1</v>
      </c>
      <c r="I27" s="39"/>
      <c r="J27" s="40" t="s">
        <v>1</v>
      </c>
    </row>
    <row r="28" ht="34" customHeight="1" spans="1:10" x14ac:dyDescent="0.25">
      <c r="A28" s="41" t="s">
        <v>1536</v>
      </c>
      <c r="B28" s="20" t="s">
        <v>41</v>
      </c>
      <c r="C28" s="42" t="s">
        <v>1537</v>
      </c>
      <c r="D28" s="24" t="s">
        <v>1538</v>
      </c>
      <c r="E28" s="20" t="s">
        <v>264</v>
      </c>
      <c r="F28" s="43" t="s">
        <v>1539</v>
      </c>
      <c r="G28" s="38" t="s">
        <v>20</v>
      </c>
      <c r="H28" s="38" t="s">
        <v>1</v>
      </c>
      <c r="I28" s="39"/>
      <c r="J28" s="40" t="s">
        <v>1</v>
      </c>
    </row>
    <row r="29" ht="20" customHeight="1" spans="1:10" x14ac:dyDescent="0.25">
      <c r="A29" s="41" t="s">
        <v>1540</v>
      </c>
      <c r="B29" s="20" t="s">
        <v>41</v>
      </c>
      <c r="C29" s="42" t="s">
        <v>1541</v>
      </c>
      <c r="D29" s="24" t="s">
        <v>1542</v>
      </c>
      <c r="E29" s="20" t="s">
        <v>264</v>
      </c>
      <c r="F29" s="43" t="s">
        <v>1543</v>
      </c>
      <c r="G29" s="38" t="s">
        <v>20</v>
      </c>
      <c r="H29" s="38" t="s">
        <v>1</v>
      </c>
      <c r="I29" s="39"/>
      <c r="J29" s="40" t="s">
        <v>1</v>
      </c>
    </row>
    <row r="30" ht="34" customHeight="1" spans="1:10" x14ac:dyDescent="0.25">
      <c r="A30" s="41" t="s">
        <v>1544</v>
      </c>
      <c r="B30" s="20" t="s">
        <v>43</v>
      </c>
      <c r="C30" s="42" t="s">
        <v>516</v>
      </c>
      <c r="D30" s="24" t="s">
        <v>517</v>
      </c>
      <c r="E30" s="20" t="s">
        <v>295</v>
      </c>
      <c r="F30" s="43" t="s">
        <v>518</v>
      </c>
      <c r="G30" s="38" t="s">
        <v>20</v>
      </c>
      <c r="H30" s="38" t="s">
        <v>1</v>
      </c>
      <c r="I30" s="39"/>
      <c r="J30" s="40" t="s">
        <v>1</v>
      </c>
    </row>
    <row r="31" ht="34" customHeight="1" spans="1:10" x14ac:dyDescent="0.25">
      <c r="A31" s="41" t="s">
        <v>1545</v>
      </c>
      <c r="B31" s="20" t="s">
        <v>43</v>
      </c>
      <c r="C31" s="42" t="s">
        <v>520</v>
      </c>
      <c r="D31" s="24" t="s">
        <v>521</v>
      </c>
      <c r="E31" s="20" t="s">
        <v>392</v>
      </c>
      <c r="F31" s="43" t="s">
        <v>522</v>
      </c>
      <c r="G31" s="38" t="s">
        <v>20</v>
      </c>
      <c r="H31" s="38" t="s">
        <v>1</v>
      </c>
      <c r="I31" s="39"/>
      <c r="J31" s="40" t="s">
        <v>1</v>
      </c>
    </row>
    <row r="32" ht="34" customHeight="1" spans="1:10" x14ac:dyDescent="0.25">
      <c r="A32" s="41" t="s">
        <v>1546</v>
      </c>
      <c r="B32" s="20" t="s">
        <v>43</v>
      </c>
      <c r="C32" s="42" t="s">
        <v>524</v>
      </c>
      <c r="D32" s="24" t="s">
        <v>525</v>
      </c>
      <c r="E32" s="20" t="s">
        <v>392</v>
      </c>
      <c r="F32" s="43" t="s">
        <v>526</v>
      </c>
      <c r="G32" s="38" t="s">
        <v>20</v>
      </c>
      <c r="H32" s="38" t="s">
        <v>1</v>
      </c>
      <c r="I32" s="39"/>
      <c r="J32" s="40" t="s">
        <v>1</v>
      </c>
    </row>
    <row r="33" ht="34" customHeight="1" spans="1:10" x14ac:dyDescent="0.25">
      <c r="A33" s="41" t="s">
        <v>1547</v>
      </c>
      <c r="B33" s="20" t="s">
        <v>43</v>
      </c>
      <c r="C33" s="42" t="s">
        <v>893</v>
      </c>
      <c r="D33" s="24" t="s">
        <v>894</v>
      </c>
      <c r="E33" s="20" t="s">
        <v>392</v>
      </c>
      <c r="F33" s="43" t="s">
        <v>895</v>
      </c>
      <c r="G33" s="38" t="s">
        <v>20</v>
      </c>
      <c r="H33" s="38" t="s">
        <v>1</v>
      </c>
      <c r="I33" s="39"/>
      <c r="J33" s="40" t="s">
        <v>1</v>
      </c>
    </row>
    <row r="34" ht="34" customHeight="1" spans="1:10" x14ac:dyDescent="0.25">
      <c r="A34" s="41" t="s">
        <v>1548</v>
      </c>
      <c r="B34" s="20" t="s">
        <v>43</v>
      </c>
      <c r="C34" s="42" t="s">
        <v>1549</v>
      </c>
      <c r="D34" s="24" t="s">
        <v>1550</v>
      </c>
      <c r="E34" s="20" t="s">
        <v>392</v>
      </c>
      <c r="F34" s="43" t="s">
        <v>1551</v>
      </c>
      <c r="G34" s="38" t="s">
        <v>20</v>
      </c>
      <c r="H34" s="38" t="s">
        <v>1</v>
      </c>
      <c r="I34" s="39"/>
      <c r="J34" s="40" t="s">
        <v>1</v>
      </c>
    </row>
    <row r="35" ht="34" customHeight="1" spans="1:10" x14ac:dyDescent="0.25">
      <c r="A35" s="41" t="s">
        <v>1552</v>
      </c>
      <c r="B35" s="20" t="s">
        <v>43</v>
      </c>
      <c r="C35" s="42" t="s">
        <v>1553</v>
      </c>
      <c r="D35" s="24" t="s">
        <v>1554</v>
      </c>
      <c r="E35" s="20" t="s">
        <v>359</v>
      </c>
      <c r="F35" s="43" t="s">
        <v>1555</v>
      </c>
      <c r="G35" s="38" t="s">
        <v>20</v>
      </c>
      <c r="H35" s="38" t="s">
        <v>1</v>
      </c>
      <c r="I35" s="39"/>
      <c r="J35" s="40" t="s">
        <v>1</v>
      </c>
    </row>
    <row r="36" ht="48" customHeight="1" spans="1:10" x14ac:dyDescent="0.25">
      <c r="A36" s="41" t="s">
        <v>1556</v>
      </c>
      <c r="B36" s="20" t="s">
        <v>45</v>
      </c>
      <c r="C36" s="42" t="s">
        <v>536</v>
      </c>
      <c r="D36" s="24" t="s">
        <v>537</v>
      </c>
      <c r="E36" s="20" t="s">
        <v>295</v>
      </c>
      <c r="F36" s="43" t="s">
        <v>538</v>
      </c>
      <c r="G36" s="38" t="s">
        <v>20</v>
      </c>
      <c r="H36" s="38" t="s">
        <v>1</v>
      </c>
      <c r="I36" s="39"/>
      <c r="J36" s="40" t="s">
        <v>1</v>
      </c>
    </row>
    <row r="37" ht="48" customHeight="1" spans="1:10" x14ac:dyDescent="0.25">
      <c r="A37" s="41" t="s">
        <v>1557</v>
      </c>
      <c r="B37" s="20" t="s">
        <v>45</v>
      </c>
      <c r="C37" s="42" t="s">
        <v>540</v>
      </c>
      <c r="D37" s="24" t="s">
        <v>1558</v>
      </c>
      <c r="E37" s="20" t="s">
        <v>295</v>
      </c>
      <c r="F37" s="43" t="s">
        <v>542</v>
      </c>
      <c r="G37" s="38" t="s">
        <v>20</v>
      </c>
      <c r="H37" s="38" t="s">
        <v>1</v>
      </c>
      <c r="I37" s="39"/>
      <c r="J37" s="40" t="s">
        <v>1</v>
      </c>
    </row>
    <row r="38" ht="34" customHeight="1" spans="1:10" x14ac:dyDescent="0.25">
      <c r="A38" s="41" t="s">
        <v>1559</v>
      </c>
      <c r="B38" s="20" t="s">
        <v>45</v>
      </c>
      <c r="C38" s="42" t="s">
        <v>544</v>
      </c>
      <c r="D38" s="24" t="s">
        <v>545</v>
      </c>
      <c r="E38" s="20" t="s">
        <v>295</v>
      </c>
      <c r="F38" s="43" t="s">
        <v>546</v>
      </c>
      <c r="G38" s="38" t="s">
        <v>20</v>
      </c>
      <c r="H38" s="38" t="s">
        <v>1</v>
      </c>
      <c r="I38" s="39"/>
      <c r="J38" s="40" t="s">
        <v>1</v>
      </c>
    </row>
    <row r="39" ht="34" customHeight="1" spans="1:10" x14ac:dyDescent="0.25">
      <c r="A39" s="41" t="s">
        <v>1560</v>
      </c>
      <c r="B39" s="20" t="s">
        <v>45</v>
      </c>
      <c r="C39" s="42" t="s">
        <v>548</v>
      </c>
      <c r="D39" s="24" t="s">
        <v>1561</v>
      </c>
      <c r="E39" s="20" t="s">
        <v>550</v>
      </c>
      <c r="F39" s="43" t="s">
        <v>551</v>
      </c>
      <c r="G39" s="38" t="s">
        <v>20</v>
      </c>
      <c r="H39" s="38" t="s">
        <v>1</v>
      </c>
      <c r="I39" s="39"/>
      <c r="J39" s="40" t="s">
        <v>1</v>
      </c>
    </row>
    <row r="40" ht="48" customHeight="1" spans="1:10" x14ac:dyDescent="0.25">
      <c r="A40" s="33" t="s">
        <v>1562</v>
      </c>
      <c r="B40" s="34" t="s">
        <v>47</v>
      </c>
      <c r="C40" s="35" t="s">
        <v>289</v>
      </c>
      <c r="D40" s="36" t="s">
        <v>1563</v>
      </c>
      <c r="E40" s="34" t="s">
        <v>290</v>
      </c>
      <c r="F40" s="37" t="s">
        <v>291</v>
      </c>
      <c r="G40" s="38" t="s">
        <v>20</v>
      </c>
      <c r="H40" s="38" t="s">
        <v>1</v>
      </c>
      <c r="I40" s="39"/>
      <c r="J40" s="40" t="s">
        <v>1</v>
      </c>
    </row>
    <row r="41" ht="34" customHeight="1" spans="1:10" x14ac:dyDescent="0.25">
      <c r="A41" s="33" t="s">
        <v>1564</v>
      </c>
      <c r="B41" s="34" t="s">
        <v>47</v>
      </c>
      <c r="C41" s="35" t="s">
        <v>425</v>
      </c>
      <c r="D41" s="36" t="s">
        <v>1565</v>
      </c>
      <c r="E41" s="34" t="s">
        <v>914</v>
      </c>
      <c r="F41" s="37" t="s">
        <v>556</v>
      </c>
      <c r="G41" s="38" t="s">
        <v>20</v>
      </c>
      <c r="H41" s="38" t="s">
        <v>1</v>
      </c>
      <c r="I41" s="39"/>
      <c r="J41" s="40" t="s">
        <v>1</v>
      </c>
    </row>
    <row r="42" ht="34" customHeight="1" spans="1:10" x14ac:dyDescent="0.25">
      <c r="A42" s="33" t="s">
        <v>1566</v>
      </c>
      <c r="B42" s="34" t="s">
        <v>47</v>
      </c>
      <c r="C42" s="35" t="s">
        <v>1567</v>
      </c>
      <c r="D42" s="36" t="s">
        <v>1568</v>
      </c>
      <c r="E42" s="34" t="s">
        <v>295</v>
      </c>
      <c r="F42" s="37" t="s">
        <v>560</v>
      </c>
      <c r="G42" s="38" t="s">
        <v>20</v>
      </c>
      <c r="H42" s="38" t="s">
        <v>1</v>
      </c>
      <c r="I42" s="39"/>
      <c r="J42" s="40" t="s">
        <v>1</v>
      </c>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row r="51" spans="7:10" x14ac:dyDescent="0.25">
      <c r="G51" s="44"/>
      <c r="H51" s="44"/>
      <c r="I51" s="45"/>
      <c r="J51" s="44"/>
    </row>
    <row r="52" spans="7:10" x14ac:dyDescent="0.25">
      <c r="G52" s="44"/>
      <c r="H52" s="44"/>
      <c r="I52" s="45"/>
      <c r="J52" s="44"/>
    </row>
    <row r="53" spans="7:10" x14ac:dyDescent="0.25">
      <c r="G53" s="44"/>
      <c r="H53" s="44"/>
      <c r="I53" s="45"/>
      <c r="J53" s="44"/>
    </row>
    <row r="54" spans="7:10" x14ac:dyDescent="0.25">
      <c r="G54" s="44"/>
      <c r="H54" s="44"/>
      <c r="I54" s="45"/>
      <c r="J54" s="44"/>
    </row>
    <row r="55" spans="7:10" x14ac:dyDescent="0.25">
      <c r="G55" s="44"/>
      <c r="H55" s="44"/>
      <c r="I55" s="45"/>
      <c r="J55" s="44"/>
    </row>
    <row r="56" spans="7:10" x14ac:dyDescent="0.25">
      <c r="G56" s="44"/>
      <c r="H56" s="44"/>
      <c r="I56" s="45"/>
      <c r="J56" s="44"/>
    </row>
    <row r="57" spans="7:10" x14ac:dyDescent="0.25">
      <c r="G57" s="44"/>
      <c r="H57" s="44"/>
      <c r="I57" s="45"/>
      <c r="J57" s="44"/>
    </row>
  </sheetData>
  <autoFilter ref="A8:J42"/>
  <mergeCells count="6">
    <mergeCell ref="A1:I1"/>
    <mergeCell ref="B2:J2"/>
    <mergeCell ref="B3:J3"/>
    <mergeCell ref="B4:J4"/>
    <mergeCell ref="B5:J5"/>
    <mergeCell ref="A7:J7"/>
  </mergeCells>
  <conditionalFormatting sqref="J6">
    <cfRule type="cellIs" dxfId="234" priority="1" operator="equal">
      <formula>"Done"</formula>
    </cfRule>
    <cfRule type="cellIs" dxfId="235" priority="2" operator="equal">
      <formula>"Complete"</formula>
    </cfRule>
    <cfRule type="cellIs" dxfId="236" priority="3" operator="equal">
      <formula>"In progress"</formula>
    </cfRule>
    <cfRule type="cellIs" dxfId="237" priority="4" operator="equal">
      <formula>"Blocked"</formula>
    </cfRule>
    <cfRule type="cellIs" dxfId="238" priority="5" operator="equal">
      <formula>"N/A"</formula>
    </cfRule>
    <cfRule type="cellIs" dxfId="239" priority="6" operator="equal">
      <formula>"Decided"</formula>
    </cfRule>
    <cfRule type="cellIs" dxfId="240" priority="7" operator="equal">
      <formula>"Open"</formula>
    </cfRule>
  </conditionalFormatting>
  <conditionalFormatting sqref="A7">
    <cfRule type="containsText" dxfId="241" priority="8">
      <formula>NOT(ISERROR(SEARCH("LOCKED",A7)))</formula>
    </cfRule>
    <cfRule type="containsText" dxfId="242" priority="9">
      <formula>NOT(ISERROR(SEARCH("READY",A7)))</formula>
    </cfRule>
  </conditionalFormatting>
  <conditionalFormatting sqref="G9:G400">
    <cfRule type="cellIs" dxfId="243" priority="10" operator="equal">
      <formula>"Done"</formula>
    </cfRule>
    <cfRule type="cellIs" dxfId="244" priority="11" operator="equal">
      <formula>"Complete"</formula>
    </cfRule>
    <cfRule type="cellIs" dxfId="245" priority="12" operator="equal">
      <formula>"In progress"</formula>
    </cfRule>
    <cfRule type="cellIs" dxfId="246" priority="13" operator="equal">
      <formula>"Blocked"</formula>
    </cfRule>
    <cfRule type="cellIs" dxfId="247" priority="14" operator="equal">
      <formula>"N/A"</formula>
    </cfRule>
    <cfRule type="cellIs" dxfId="248" priority="15" operator="equal">
      <formula>"Decided"</formula>
    </cfRule>
    <cfRule type="cellIs" dxfId="249" priority="16" operator="equal">
      <formula>"Open"</formula>
    </cfRule>
  </conditionalFormatting>
  <dataValidations count="4">
    <dataValidation type="list" allowBlank="1" showErrorMessage="1" errorTitle="Status" error="Choose a value from the list." sqref="G10:G57">
      <formula1>"Not started,In progress,Blocked,Done,N/A"</formula1>
    </dataValidation>
    <dataValidation type="list" allowBlank="1" showErrorMessage="1" errorTitle="Status" error="Choose a value from the list." sqref="G9:G57">
      <formula1>"Not started,In progress,Blocked,Done,N/A"</formula1>
    </dataValidation>
    <dataValidation type="date" operator="greaterThan" allowBlank="1" showErrorMessage="1" errorTitle="Date done" error="Enter a date (yyyy-mm-dd)." sqref="I10:I57">
      <formula1>46023</formula1>
    </dataValidation>
    <dataValidation type="date" operator="greaterThan" allowBlank="1" showErrorMessage="1" errorTitle="Date done" error="Enter a date (yyyy-mm-dd)." sqref="I9:I57">
      <formula1>46023</formula1>
    </dataValidation>
  </dataValidations>
  <hyperlinks>
    <hyperlink ref="J1" r:id="rId1" location="#'Dashboard'!A1"/>
  </hyperlinks>
  <pageSetup paperSize="9" orientation="landscape"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49"/>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1569</v>
      </c>
      <c r="B1" s="27"/>
      <c r="C1" s="27"/>
      <c r="D1" s="27"/>
      <c r="E1" s="27"/>
      <c r="F1" s="27"/>
      <c r="G1" s="27"/>
      <c r="H1" s="27"/>
      <c r="I1" s="27"/>
      <c r="J1" s="28" t="s">
        <v>202</v>
      </c>
    </row>
    <row r="2" ht="17" customHeight="1" spans="1:10" x14ac:dyDescent="0.25">
      <c r="A2" s="29" t="s">
        <v>203</v>
      </c>
      <c r="B2" s="6" t="s">
        <v>1570</v>
      </c>
      <c r="C2" s="6"/>
      <c r="D2" s="6"/>
      <c r="E2" s="6"/>
      <c r="F2" s="6"/>
      <c r="G2" s="6"/>
      <c r="H2" s="6"/>
      <c r="I2" s="6"/>
      <c r="J2" s="6"/>
    </row>
    <row r="3" ht="17" customHeight="1" spans="1:10" x14ac:dyDescent="0.25">
      <c r="A3" s="29" t="s">
        <v>205</v>
      </c>
      <c r="B3" s="6" t="s">
        <v>1571</v>
      </c>
      <c r="C3" s="6"/>
      <c r="D3" s="6"/>
      <c r="E3" s="6"/>
      <c r="F3" s="6"/>
      <c r="G3" s="6"/>
      <c r="H3" s="6"/>
      <c r="I3" s="6"/>
      <c r="J3" s="6"/>
    </row>
    <row r="4" ht="17" customHeight="1" spans="1:10" x14ac:dyDescent="0.25">
      <c r="A4" s="29" t="s">
        <v>207</v>
      </c>
      <c r="B4" s="6" t="s">
        <v>1572</v>
      </c>
      <c r="C4" s="6"/>
      <c r="D4" s="6"/>
      <c r="E4" s="6"/>
      <c r="F4" s="6"/>
      <c r="G4" s="6"/>
      <c r="H4" s="6"/>
      <c r="I4" s="6"/>
      <c r="J4" s="6"/>
    </row>
    <row r="5" ht="17" customHeight="1" spans="1:10" x14ac:dyDescent="0.25">
      <c r="A5" s="29" t="s">
        <v>98</v>
      </c>
      <c r="B5" s="2" t="s">
        <v>179</v>
      </c>
      <c r="C5" s="2"/>
      <c r="D5" s="2"/>
      <c r="E5" s="2"/>
      <c r="F5" s="2"/>
      <c r="G5" s="2"/>
      <c r="H5" s="2"/>
      <c r="I5" s="2"/>
      <c r="J5" s="2"/>
    </row>
    <row r="6" spans="1:10" x14ac:dyDescent="0.25">
      <c r="A6" s="17" t="s">
        <v>92</v>
      </c>
      <c r="B6" s="30">
        <f>IF(D6=0,0,F6/D6)</f>
        <v>0</v>
      </c>
      <c r="C6" s="17" t="s">
        <v>91</v>
      </c>
      <c r="D6" s="31">
        <f>COUNTA(C9:C400)</f>
        <v>26</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IF('M15 Engagement'!$B$6=1,"READY: M15 is complete. Work the steps in order, 0 Gate in to 8 Gate out.","LOCKED: finish M15 Engagement first. Do not start work on this sheet.")</f>
        <v>LOCKED: finish M15 Engagement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1573</v>
      </c>
      <c r="B9" s="34" t="s">
        <v>31</v>
      </c>
      <c r="C9" s="35" t="s">
        <v>1574</v>
      </c>
      <c r="D9" s="36" t="s">
        <v>1575</v>
      </c>
      <c r="E9" s="34" t="s">
        <v>290</v>
      </c>
      <c r="F9" s="37" t="s">
        <v>304</v>
      </c>
      <c r="G9" s="38" t="s">
        <v>20</v>
      </c>
      <c r="H9" s="38" t="s">
        <v>1</v>
      </c>
      <c r="I9" s="39"/>
      <c r="J9" s="40" t="s">
        <v>1</v>
      </c>
    </row>
    <row r="10" ht="34" customHeight="1" spans="1:10" x14ac:dyDescent="0.25">
      <c r="A10" s="33" t="s">
        <v>1576</v>
      </c>
      <c r="B10" s="34" t="s">
        <v>31</v>
      </c>
      <c r="C10" s="35" t="s">
        <v>441</v>
      </c>
      <c r="D10" s="36" t="s">
        <v>1577</v>
      </c>
      <c r="E10" s="34" t="s">
        <v>443</v>
      </c>
      <c r="F10" s="37" t="s">
        <v>444</v>
      </c>
      <c r="G10" s="38" t="s">
        <v>20</v>
      </c>
      <c r="H10" s="38" t="s">
        <v>1</v>
      </c>
      <c r="I10" s="39"/>
      <c r="J10" s="40" t="s">
        <v>1</v>
      </c>
    </row>
    <row r="11" ht="48" customHeight="1" spans="1:10" x14ac:dyDescent="0.25">
      <c r="A11" s="41" t="s">
        <v>1578</v>
      </c>
      <c r="B11" s="20" t="s">
        <v>33</v>
      </c>
      <c r="C11" s="42" t="s">
        <v>448</v>
      </c>
      <c r="D11" s="24" t="s">
        <v>1579</v>
      </c>
      <c r="E11" s="20" t="s">
        <v>295</v>
      </c>
      <c r="F11" s="43" t="s">
        <v>1580</v>
      </c>
      <c r="G11" s="38" t="s">
        <v>20</v>
      </c>
      <c r="H11" s="38" t="s">
        <v>1</v>
      </c>
      <c r="I11" s="39"/>
      <c r="J11" s="40" t="s">
        <v>1</v>
      </c>
    </row>
    <row r="12" ht="34" customHeight="1" spans="1:10" x14ac:dyDescent="0.25">
      <c r="A12" s="41" t="s">
        <v>1581</v>
      </c>
      <c r="B12" s="20" t="s">
        <v>33</v>
      </c>
      <c r="C12" s="42" t="s">
        <v>452</v>
      </c>
      <c r="D12" s="24" t="s">
        <v>1582</v>
      </c>
      <c r="E12" s="20" t="s">
        <v>295</v>
      </c>
      <c r="F12" s="43" t="s">
        <v>454</v>
      </c>
      <c r="G12" s="38" t="s">
        <v>20</v>
      </c>
      <c r="H12" s="38" t="s">
        <v>1</v>
      </c>
      <c r="I12" s="39"/>
      <c r="J12" s="40" t="s">
        <v>1</v>
      </c>
    </row>
    <row r="13" ht="48" customHeight="1" spans="1:10" x14ac:dyDescent="0.25">
      <c r="A13" s="41" t="s">
        <v>1583</v>
      </c>
      <c r="B13" s="20" t="s">
        <v>33</v>
      </c>
      <c r="C13" s="42" t="s">
        <v>456</v>
      </c>
      <c r="D13" s="24" t="s">
        <v>457</v>
      </c>
      <c r="E13" s="20" t="s">
        <v>295</v>
      </c>
      <c r="F13" s="43" t="s">
        <v>458</v>
      </c>
      <c r="G13" s="38" t="s">
        <v>20</v>
      </c>
      <c r="H13" s="38" t="s">
        <v>1</v>
      </c>
      <c r="I13" s="39"/>
      <c r="J13" s="40" t="s">
        <v>1</v>
      </c>
    </row>
    <row r="14" ht="34" customHeight="1" spans="1:10" x14ac:dyDescent="0.25">
      <c r="A14" s="41" t="s">
        <v>1584</v>
      </c>
      <c r="B14" s="20" t="s">
        <v>33</v>
      </c>
      <c r="C14" s="42" t="s">
        <v>460</v>
      </c>
      <c r="D14" s="24" t="s">
        <v>1585</v>
      </c>
      <c r="E14" s="20" t="s">
        <v>295</v>
      </c>
      <c r="F14" s="43" t="s">
        <v>462</v>
      </c>
      <c r="G14" s="38" t="s">
        <v>20</v>
      </c>
      <c r="H14" s="38" t="s">
        <v>1</v>
      </c>
      <c r="I14" s="39"/>
      <c r="J14" s="40" t="s">
        <v>1</v>
      </c>
    </row>
    <row r="15" ht="34" customHeight="1" spans="1:10" x14ac:dyDescent="0.25">
      <c r="A15" s="41" t="s">
        <v>1586</v>
      </c>
      <c r="B15" s="20" t="s">
        <v>35</v>
      </c>
      <c r="C15" s="42" t="s">
        <v>1587</v>
      </c>
      <c r="D15" s="24" t="s">
        <v>1588</v>
      </c>
      <c r="E15" s="20" t="s">
        <v>295</v>
      </c>
      <c r="F15" s="43" t="s">
        <v>1589</v>
      </c>
      <c r="G15" s="38" t="s">
        <v>20</v>
      </c>
      <c r="H15" s="38" t="s">
        <v>1</v>
      </c>
      <c r="I15" s="39"/>
      <c r="J15" s="40" t="s">
        <v>1</v>
      </c>
    </row>
    <row r="16" ht="48" customHeight="1" spans="1:10" x14ac:dyDescent="0.25">
      <c r="A16" s="41" t="s">
        <v>1590</v>
      </c>
      <c r="B16" s="20" t="s">
        <v>35</v>
      </c>
      <c r="C16" s="42" t="s">
        <v>1591</v>
      </c>
      <c r="D16" s="24" t="s">
        <v>1592</v>
      </c>
      <c r="E16" s="20" t="s">
        <v>295</v>
      </c>
      <c r="F16" s="43" t="s">
        <v>1593</v>
      </c>
      <c r="G16" s="38" t="s">
        <v>20</v>
      </c>
      <c r="H16" s="38" t="s">
        <v>1</v>
      </c>
      <c r="I16" s="39"/>
      <c r="J16" s="40" t="s">
        <v>1</v>
      </c>
    </row>
    <row r="17" ht="34" customHeight="1" spans="1:10" x14ac:dyDescent="0.25">
      <c r="A17" s="41" t="s">
        <v>1594</v>
      </c>
      <c r="B17" s="20" t="s">
        <v>35</v>
      </c>
      <c r="C17" s="42" t="s">
        <v>1595</v>
      </c>
      <c r="D17" s="24" t="s">
        <v>1596</v>
      </c>
      <c r="E17" s="20" t="s">
        <v>295</v>
      </c>
      <c r="F17" s="43" t="s">
        <v>1597</v>
      </c>
      <c r="G17" s="38" t="s">
        <v>20</v>
      </c>
      <c r="H17" s="38" t="s">
        <v>1</v>
      </c>
      <c r="I17" s="39"/>
      <c r="J17" s="40" t="s">
        <v>1</v>
      </c>
    </row>
    <row r="18" ht="34" customHeight="1" spans="1:10" x14ac:dyDescent="0.25">
      <c r="A18" s="41" t="s">
        <v>1598</v>
      </c>
      <c r="B18" s="20" t="s">
        <v>35</v>
      </c>
      <c r="C18" s="42" t="s">
        <v>1599</v>
      </c>
      <c r="D18" s="24" t="s">
        <v>1600</v>
      </c>
      <c r="E18" s="20" t="s">
        <v>295</v>
      </c>
      <c r="F18" s="43" t="s">
        <v>1601</v>
      </c>
      <c r="G18" s="38" t="s">
        <v>20</v>
      </c>
      <c r="H18" s="38" t="s">
        <v>1</v>
      </c>
      <c r="I18" s="39"/>
      <c r="J18" s="40" t="s">
        <v>1</v>
      </c>
    </row>
    <row r="19" ht="20" customHeight="1" spans="1:10" x14ac:dyDescent="0.25">
      <c r="A19" s="41" t="s">
        <v>1602</v>
      </c>
      <c r="B19" s="20" t="s">
        <v>35</v>
      </c>
      <c r="C19" s="42" t="s">
        <v>1603</v>
      </c>
      <c r="D19" s="24" t="s">
        <v>1604</v>
      </c>
      <c r="E19" s="20" t="s">
        <v>359</v>
      </c>
      <c r="F19" s="43" t="s">
        <v>1605</v>
      </c>
      <c r="G19" s="38" t="s">
        <v>20</v>
      </c>
      <c r="H19" s="38" t="s">
        <v>1</v>
      </c>
      <c r="I19" s="39"/>
      <c r="J19" s="40" t="s">
        <v>1</v>
      </c>
    </row>
    <row r="20" ht="34" customHeight="1" spans="1:10" x14ac:dyDescent="0.25">
      <c r="A20" s="41" t="s">
        <v>1606</v>
      </c>
      <c r="B20" s="20" t="s">
        <v>35</v>
      </c>
      <c r="C20" s="42" t="s">
        <v>1607</v>
      </c>
      <c r="D20" s="24" t="s">
        <v>1608</v>
      </c>
      <c r="E20" s="20" t="s">
        <v>295</v>
      </c>
      <c r="F20" s="43" t="s">
        <v>1609</v>
      </c>
      <c r="G20" s="38" t="s">
        <v>20</v>
      </c>
      <c r="H20" s="38" t="s">
        <v>1</v>
      </c>
      <c r="I20" s="39"/>
      <c r="J20" s="40" t="s">
        <v>1</v>
      </c>
    </row>
    <row r="21" ht="34" customHeight="1" spans="1:10" x14ac:dyDescent="0.25">
      <c r="A21" s="41" t="s">
        <v>1610</v>
      </c>
      <c r="B21" s="20" t="s">
        <v>37</v>
      </c>
      <c r="C21" s="42" t="s">
        <v>1611</v>
      </c>
      <c r="D21" s="24" t="s">
        <v>1612</v>
      </c>
      <c r="E21" s="20" t="s">
        <v>295</v>
      </c>
      <c r="F21" s="43" t="s">
        <v>1135</v>
      </c>
      <c r="G21" s="38" t="s">
        <v>20</v>
      </c>
      <c r="H21" s="38" t="s">
        <v>1</v>
      </c>
      <c r="I21" s="39"/>
      <c r="J21" s="40" t="s">
        <v>1</v>
      </c>
    </row>
    <row r="22" ht="20" customHeight="1" spans="1:10" x14ac:dyDescent="0.25">
      <c r="A22" s="41" t="s">
        <v>1613</v>
      </c>
      <c r="B22" s="20" t="s">
        <v>39</v>
      </c>
      <c r="C22" s="42" t="s">
        <v>1614</v>
      </c>
      <c r="D22" s="24" t="s">
        <v>969</v>
      </c>
      <c r="E22" s="20" t="s">
        <v>295</v>
      </c>
      <c r="F22" s="43" t="s">
        <v>876</v>
      </c>
      <c r="G22" s="38" t="s">
        <v>20</v>
      </c>
      <c r="H22" s="38" t="s">
        <v>1</v>
      </c>
      <c r="I22" s="39"/>
      <c r="J22" s="40" t="s">
        <v>1</v>
      </c>
    </row>
    <row r="23" ht="34" customHeight="1" spans="1:10" x14ac:dyDescent="0.25">
      <c r="A23" s="41" t="s">
        <v>1615</v>
      </c>
      <c r="B23" s="20" t="s">
        <v>41</v>
      </c>
      <c r="C23" s="42" t="s">
        <v>1616</v>
      </c>
      <c r="D23" s="24" t="s">
        <v>1617</v>
      </c>
      <c r="E23" s="20" t="s">
        <v>264</v>
      </c>
      <c r="F23" s="43" t="s">
        <v>1618</v>
      </c>
      <c r="G23" s="38" t="s">
        <v>20</v>
      </c>
      <c r="H23" s="38" t="s">
        <v>1</v>
      </c>
      <c r="I23" s="39"/>
      <c r="J23" s="40" t="s">
        <v>1</v>
      </c>
    </row>
    <row r="24" ht="34" customHeight="1" spans="1:10" x14ac:dyDescent="0.25">
      <c r="A24" s="41" t="s">
        <v>1619</v>
      </c>
      <c r="B24" s="20" t="s">
        <v>43</v>
      </c>
      <c r="C24" s="42" t="s">
        <v>516</v>
      </c>
      <c r="D24" s="24" t="s">
        <v>517</v>
      </c>
      <c r="E24" s="20" t="s">
        <v>295</v>
      </c>
      <c r="F24" s="43" t="s">
        <v>518</v>
      </c>
      <c r="G24" s="38" t="s">
        <v>20</v>
      </c>
      <c r="H24" s="38" t="s">
        <v>1</v>
      </c>
      <c r="I24" s="39"/>
      <c r="J24" s="40" t="s">
        <v>1</v>
      </c>
    </row>
    <row r="25" ht="34" customHeight="1" spans="1:10" x14ac:dyDescent="0.25">
      <c r="A25" s="41" t="s">
        <v>1620</v>
      </c>
      <c r="B25" s="20" t="s">
        <v>43</v>
      </c>
      <c r="C25" s="42" t="s">
        <v>520</v>
      </c>
      <c r="D25" s="24" t="s">
        <v>521</v>
      </c>
      <c r="E25" s="20" t="s">
        <v>392</v>
      </c>
      <c r="F25" s="43" t="s">
        <v>522</v>
      </c>
      <c r="G25" s="38" t="s">
        <v>20</v>
      </c>
      <c r="H25" s="38" t="s">
        <v>1</v>
      </c>
      <c r="I25" s="39"/>
      <c r="J25" s="40" t="s">
        <v>1</v>
      </c>
    </row>
    <row r="26" ht="34" customHeight="1" spans="1:10" x14ac:dyDescent="0.25">
      <c r="A26" s="41" t="s">
        <v>1621</v>
      </c>
      <c r="B26" s="20" t="s">
        <v>43</v>
      </c>
      <c r="C26" s="42" t="s">
        <v>524</v>
      </c>
      <c r="D26" s="24" t="s">
        <v>525</v>
      </c>
      <c r="E26" s="20" t="s">
        <v>392</v>
      </c>
      <c r="F26" s="43" t="s">
        <v>526</v>
      </c>
      <c r="G26" s="38" t="s">
        <v>20</v>
      </c>
      <c r="H26" s="38" t="s">
        <v>1</v>
      </c>
      <c r="I26" s="39"/>
      <c r="J26" s="40" t="s">
        <v>1</v>
      </c>
    </row>
    <row r="27" ht="34" customHeight="1" spans="1:10" x14ac:dyDescent="0.25">
      <c r="A27" s="41" t="s">
        <v>1622</v>
      </c>
      <c r="B27" s="20" t="s">
        <v>43</v>
      </c>
      <c r="C27" s="42" t="s">
        <v>1623</v>
      </c>
      <c r="D27" s="24" t="s">
        <v>1624</v>
      </c>
      <c r="E27" s="20" t="s">
        <v>392</v>
      </c>
      <c r="F27" s="43" t="s">
        <v>1625</v>
      </c>
      <c r="G27" s="38" t="s">
        <v>20</v>
      </c>
      <c r="H27" s="38" t="s">
        <v>1</v>
      </c>
      <c r="I27" s="39"/>
      <c r="J27" s="40" t="s">
        <v>1</v>
      </c>
    </row>
    <row r="28" ht="48" customHeight="1" spans="1:10" x14ac:dyDescent="0.25">
      <c r="A28" s="41" t="s">
        <v>1626</v>
      </c>
      <c r="B28" s="20" t="s">
        <v>45</v>
      </c>
      <c r="C28" s="42" t="s">
        <v>536</v>
      </c>
      <c r="D28" s="24" t="s">
        <v>537</v>
      </c>
      <c r="E28" s="20" t="s">
        <v>295</v>
      </c>
      <c r="F28" s="43" t="s">
        <v>538</v>
      </c>
      <c r="G28" s="38" t="s">
        <v>20</v>
      </c>
      <c r="H28" s="38" t="s">
        <v>1</v>
      </c>
      <c r="I28" s="39"/>
      <c r="J28" s="40" t="s">
        <v>1</v>
      </c>
    </row>
    <row r="29" ht="48" customHeight="1" spans="1:10" x14ac:dyDescent="0.25">
      <c r="A29" s="41" t="s">
        <v>1627</v>
      </c>
      <c r="B29" s="20" t="s">
        <v>45</v>
      </c>
      <c r="C29" s="42" t="s">
        <v>540</v>
      </c>
      <c r="D29" s="24" t="s">
        <v>1628</v>
      </c>
      <c r="E29" s="20" t="s">
        <v>295</v>
      </c>
      <c r="F29" s="43" t="s">
        <v>542</v>
      </c>
      <c r="G29" s="38" t="s">
        <v>20</v>
      </c>
      <c r="H29" s="38" t="s">
        <v>1</v>
      </c>
      <c r="I29" s="39"/>
      <c r="J29" s="40" t="s">
        <v>1</v>
      </c>
    </row>
    <row r="30" ht="34" customHeight="1" spans="1:10" x14ac:dyDescent="0.25">
      <c r="A30" s="41" t="s">
        <v>1629</v>
      </c>
      <c r="B30" s="20" t="s">
        <v>45</v>
      </c>
      <c r="C30" s="42" t="s">
        <v>544</v>
      </c>
      <c r="D30" s="24" t="s">
        <v>545</v>
      </c>
      <c r="E30" s="20" t="s">
        <v>295</v>
      </c>
      <c r="F30" s="43" t="s">
        <v>546</v>
      </c>
      <c r="G30" s="38" t="s">
        <v>20</v>
      </c>
      <c r="H30" s="38" t="s">
        <v>1</v>
      </c>
      <c r="I30" s="39"/>
      <c r="J30" s="40" t="s">
        <v>1</v>
      </c>
    </row>
    <row r="31" ht="34" customHeight="1" spans="1:10" x14ac:dyDescent="0.25">
      <c r="A31" s="41" t="s">
        <v>1630</v>
      </c>
      <c r="B31" s="20" t="s">
        <v>45</v>
      </c>
      <c r="C31" s="42" t="s">
        <v>548</v>
      </c>
      <c r="D31" s="24" t="s">
        <v>1631</v>
      </c>
      <c r="E31" s="20" t="s">
        <v>550</v>
      </c>
      <c r="F31" s="43" t="s">
        <v>551</v>
      </c>
      <c r="G31" s="38" t="s">
        <v>20</v>
      </c>
      <c r="H31" s="38" t="s">
        <v>1</v>
      </c>
      <c r="I31" s="39"/>
      <c r="J31" s="40" t="s">
        <v>1</v>
      </c>
    </row>
    <row r="32" ht="48" customHeight="1" spans="1:10" x14ac:dyDescent="0.25">
      <c r="A32" s="33" t="s">
        <v>1632</v>
      </c>
      <c r="B32" s="34" t="s">
        <v>47</v>
      </c>
      <c r="C32" s="35" t="s">
        <v>289</v>
      </c>
      <c r="D32" s="36" t="s">
        <v>1633</v>
      </c>
      <c r="E32" s="34" t="s">
        <v>290</v>
      </c>
      <c r="F32" s="37" t="s">
        <v>291</v>
      </c>
      <c r="G32" s="38" t="s">
        <v>20</v>
      </c>
      <c r="H32" s="38" t="s">
        <v>1</v>
      </c>
      <c r="I32" s="39"/>
      <c r="J32" s="40" t="s">
        <v>1</v>
      </c>
    </row>
    <row r="33" ht="34" customHeight="1" spans="1:10" x14ac:dyDescent="0.25">
      <c r="A33" s="33" t="s">
        <v>1634</v>
      </c>
      <c r="B33" s="34" t="s">
        <v>47</v>
      </c>
      <c r="C33" s="35" t="s">
        <v>425</v>
      </c>
      <c r="D33" s="36" t="s">
        <v>1635</v>
      </c>
      <c r="E33" s="34" t="s">
        <v>914</v>
      </c>
      <c r="F33" s="37" t="s">
        <v>556</v>
      </c>
      <c r="G33" s="38" t="s">
        <v>20</v>
      </c>
      <c r="H33" s="38" t="s">
        <v>1</v>
      </c>
      <c r="I33" s="39"/>
      <c r="J33" s="40" t="s">
        <v>1</v>
      </c>
    </row>
    <row r="34" ht="34" customHeight="1" spans="1:10" x14ac:dyDescent="0.25">
      <c r="A34" s="33" t="s">
        <v>1636</v>
      </c>
      <c r="B34" s="34" t="s">
        <v>47</v>
      </c>
      <c r="C34" s="35" t="s">
        <v>1637</v>
      </c>
      <c r="D34" s="36" t="s">
        <v>1638</v>
      </c>
      <c r="E34" s="34" t="s">
        <v>295</v>
      </c>
      <c r="F34" s="37" t="s">
        <v>560</v>
      </c>
      <c r="G34" s="38" t="s">
        <v>20</v>
      </c>
      <c r="H34" s="38" t="s">
        <v>1</v>
      </c>
      <c r="I34" s="39"/>
      <c r="J34" s="40" t="s">
        <v>1</v>
      </c>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sheetData>
  <autoFilter ref="A8:J34"/>
  <mergeCells count="6">
    <mergeCell ref="A1:I1"/>
    <mergeCell ref="B2:J2"/>
    <mergeCell ref="B3:J3"/>
    <mergeCell ref="B4:J4"/>
    <mergeCell ref="B5:J5"/>
    <mergeCell ref="A7:J7"/>
  </mergeCells>
  <conditionalFormatting sqref="J6">
    <cfRule type="cellIs" dxfId="250" priority="1" operator="equal">
      <formula>"Done"</formula>
    </cfRule>
    <cfRule type="cellIs" dxfId="251" priority="2" operator="equal">
      <formula>"Complete"</formula>
    </cfRule>
    <cfRule type="cellIs" dxfId="252" priority="3" operator="equal">
      <formula>"In progress"</formula>
    </cfRule>
    <cfRule type="cellIs" dxfId="253" priority="4" operator="equal">
      <formula>"Blocked"</formula>
    </cfRule>
    <cfRule type="cellIs" dxfId="254" priority="5" operator="equal">
      <formula>"N/A"</formula>
    </cfRule>
    <cfRule type="cellIs" dxfId="255" priority="6" operator="equal">
      <formula>"Decided"</formula>
    </cfRule>
    <cfRule type="cellIs" dxfId="256" priority="7" operator="equal">
      <formula>"Open"</formula>
    </cfRule>
  </conditionalFormatting>
  <conditionalFormatting sqref="A7">
    <cfRule type="containsText" dxfId="257" priority="8">
      <formula>NOT(ISERROR(SEARCH("LOCKED",A7)))</formula>
    </cfRule>
    <cfRule type="containsText" dxfId="258" priority="9">
      <formula>NOT(ISERROR(SEARCH("READY",A7)))</formula>
    </cfRule>
  </conditionalFormatting>
  <conditionalFormatting sqref="G9:G400">
    <cfRule type="cellIs" dxfId="259" priority="10" operator="equal">
      <formula>"Done"</formula>
    </cfRule>
    <cfRule type="cellIs" dxfId="260" priority="11" operator="equal">
      <formula>"Complete"</formula>
    </cfRule>
    <cfRule type="cellIs" dxfId="261" priority="12" operator="equal">
      <formula>"In progress"</formula>
    </cfRule>
    <cfRule type="cellIs" dxfId="262" priority="13" operator="equal">
      <formula>"Blocked"</formula>
    </cfRule>
    <cfRule type="cellIs" dxfId="263" priority="14" operator="equal">
      <formula>"N/A"</formula>
    </cfRule>
    <cfRule type="cellIs" dxfId="264" priority="15" operator="equal">
      <formula>"Decided"</formula>
    </cfRule>
    <cfRule type="cellIs" dxfId="265" priority="16" operator="equal">
      <formula>"Open"</formula>
    </cfRule>
  </conditionalFormatting>
  <dataValidations count="4">
    <dataValidation type="list" allowBlank="1" showErrorMessage="1" errorTitle="Status" error="Choose a value from the list." sqref="G10:G49">
      <formula1>"Not started,In progress,Blocked,Done,N/A"</formula1>
    </dataValidation>
    <dataValidation type="list" allowBlank="1" showErrorMessage="1" errorTitle="Status" error="Choose a value from the list." sqref="G9:G49">
      <formula1>"Not started,In progress,Blocked,Done,N/A"</formula1>
    </dataValidation>
    <dataValidation type="date" operator="greaterThan" allowBlank="1" showErrorMessage="1" errorTitle="Date done" error="Enter a date (yyyy-mm-dd)." sqref="I10:I49">
      <formula1>46023</formula1>
    </dataValidation>
    <dataValidation type="date" operator="greaterThan" allowBlank="1" showErrorMessage="1" errorTitle="Date done" error="Enter a date (yyyy-mm-dd)." sqref="I9:I49">
      <formula1>46023</formula1>
    </dataValidation>
  </dataValidations>
  <hyperlinks>
    <hyperlink ref="J1" r:id="rId1" location="#'Dashboard'!A1"/>
  </hyperlinks>
  <pageSetup paperSize="9" orientation="landscape"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48"/>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1639</v>
      </c>
      <c r="B1" s="27"/>
      <c r="C1" s="27"/>
      <c r="D1" s="27"/>
      <c r="E1" s="27"/>
      <c r="F1" s="27"/>
      <c r="G1" s="27"/>
      <c r="H1" s="27"/>
      <c r="I1" s="27"/>
      <c r="J1" s="28" t="s">
        <v>202</v>
      </c>
    </row>
    <row r="2" ht="17" customHeight="1" spans="1:10" x14ac:dyDescent="0.25">
      <c r="A2" s="29" t="s">
        <v>203</v>
      </c>
      <c r="B2" s="6" t="s">
        <v>1640</v>
      </c>
      <c r="C2" s="6"/>
      <c r="D2" s="6"/>
      <c r="E2" s="6"/>
      <c r="F2" s="6"/>
      <c r="G2" s="6"/>
      <c r="H2" s="6"/>
      <c r="I2" s="6"/>
      <c r="J2" s="6"/>
    </row>
    <row r="3" ht="17" customHeight="1" spans="1:10" x14ac:dyDescent="0.25">
      <c r="A3" s="29" t="s">
        <v>205</v>
      </c>
      <c r="B3" s="6" t="s">
        <v>1641</v>
      </c>
      <c r="C3" s="6"/>
      <c r="D3" s="6"/>
      <c r="E3" s="6"/>
      <c r="F3" s="6"/>
      <c r="G3" s="6"/>
      <c r="H3" s="6"/>
      <c r="I3" s="6"/>
      <c r="J3" s="6"/>
    </row>
    <row r="4" ht="17" customHeight="1" spans="1:10" x14ac:dyDescent="0.25">
      <c r="A4" s="29" t="s">
        <v>207</v>
      </c>
      <c r="B4" s="6" t="s">
        <v>1642</v>
      </c>
      <c r="C4" s="6"/>
      <c r="D4" s="6"/>
      <c r="E4" s="6"/>
      <c r="F4" s="6"/>
      <c r="G4" s="6"/>
      <c r="H4" s="6"/>
      <c r="I4" s="6"/>
      <c r="J4" s="6"/>
    </row>
    <row r="5" ht="17" customHeight="1" spans="1:10" x14ac:dyDescent="0.25">
      <c r="A5" s="29" t="s">
        <v>98</v>
      </c>
      <c r="B5" s="2" t="s">
        <v>184</v>
      </c>
      <c r="C5" s="2"/>
      <c r="D5" s="2"/>
      <c r="E5" s="2"/>
      <c r="F5" s="2"/>
      <c r="G5" s="2"/>
      <c r="H5" s="2"/>
      <c r="I5" s="2"/>
      <c r="J5" s="2"/>
    </row>
    <row r="6" spans="1:10" x14ac:dyDescent="0.25">
      <c r="A6" s="17" t="s">
        <v>92</v>
      </c>
      <c r="B6" s="30">
        <f>IF(D6=0,0,F6/D6)</f>
        <v>0</v>
      </c>
      <c r="C6" s="17" t="s">
        <v>91</v>
      </c>
      <c r="D6" s="31">
        <f>COUNTA(C9:C400)</f>
        <v>25</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IF('M16 Outcomes'!$B$6=1,"READY: M16 is complete. Work the steps in order, 0 Gate in to 8 Gate out.","LOCKED: finish M16 Outcomes first. Do not start work on this sheet.")</f>
        <v>LOCKED: finish M16 Outcomes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1643</v>
      </c>
      <c r="B9" s="34" t="s">
        <v>31</v>
      </c>
      <c r="C9" s="35" t="s">
        <v>1644</v>
      </c>
      <c r="D9" s="36" t="s">
        <v>1645</v>
      </c>
      <c r="E9" s="34" t="s">
        <v>290</v>
      </c>
      <c r="F9" s="37" t="s">
        <v>304</v>
      </c>
      <c r="G9" s="38" t="s">
        <v>20</v>
      </c>
      <c r="H9" s="38" t="s">
        <v>1</v>
      </c>
      <c r="I9" s="39"/>
      <c r="J9" s="40" t="s">
        <v>1</v>
      </c>
    </row>
    <row r="10" ht="34" customHeight="1" spans="1:10" x14ac:dyDescent="0.25">
      <c r="A10" s="33" t="s">
        <v>1646</v>
      </c>
      <c r="B10" s="34" t="s">
        <v>31</v>
      </c>
      <c r="C10" s="35" t="s">
        <v>441</v>
      </c>
      <c r="D10" s="36" t="s">
        <v>1647</v>
      </c>
      <c r="E10" s="34" t="s">
        <v>443</v>
      </c>
      <c r="F10" s="37" t="s">
        <v>444</v>
      </c>
      <c r="G10" s="38" t="s">
        <v>20</v>
      </c>
      <c r="H10" s="38" t="s">
        <v>1</v>
      </c>
      <c r="I10" s="39"/>
      <c r="J10" s="40" t="s">
        <v>1</v>
      </c>
    </row>
    <row r="11" ht="34" customHeight="1" spans="1:10" x14ac:dyDescent="0.25">
      <c r="A11" s="33" t="s">
        <v>1648</v>
      </c>
      <c r="B11" s="34" t="s">
        <v>31</v>
      </c>
      <c r="C11" s="35" t="s">
        <v>306</v>
      </c>
      <c r="D11" s="36" t="s">
        <v>1649</v>
      </c>
      <c r="E11" s="34" t="s">
        <v>308</v>
      </c>
      <c r="F11" s="37" t="s">
        <v>309</v>
      </c>
      <c r="G11" s="38" t="s">
        <v>20</v>
      </c>
      <c r="H11" s="38" t="s">
        <v>1</v>
      </c>
      <c r="I11" s="39"/>
      <c r="J11" s="40" t="s">
        <v>1</v>
      </c>
    </row>
    <row r="12" ht="48" customHeight="1" spans="1:10" x14ac:dyDescent="0.25">
      <c r="A12" s="41" t="s">
        <v>1650</v>
      </c>
      <c r="B12" s="20" t="s">
        <v>33</v>
      </c>
      <c r="C12" s="42" t="s">
        <v>448</v>
      </c>
      <c r="D12" s="24" t="s">
        <v>1651</v>
      </c>
      <c r="E12" s="20" t="s">
        <v>295</v>
      </c>
      <c r="F12" s="43" t="s">
        <v>1652</v>
      </c>
      <c r="G12" s="38" t="s">
        <v>20</v>
      </c>
      <c r="H12" s="38" t="s">
        <v>1</v>
      </c>
      <c r="I12" s="39"/>
      <c r="J12" s="40" t="s">
        <v>1</v>
      </c>
    </row>
    <row r="13" ht="34" customHeight="1" spans="1:10" x14ac:dyDescent="0.25">
      <c r="A13" s="41" t="s">
        <v>1653</v>
      </c>
      <c r="B13" s="20" t="s">
        <v>33</v>
      </c>
      <c r="C13" s="42" t="s">
        <v>452</v>
      </c>
      <c r="D13" s="24" t="s">
        <v>1654</v>
      </c>
      <c r="E13" s="20" t="s">
        <v>295</v>
      </c>
      <c r="F13" s="43" t="s">
        <v>454</v>
      </c>
      <c r="G13" s="38" t="s">
        <v>20</v>
      </c>
      <c r="H13" s="38" t="s">
        <v>1</v>
      </c>
      <c r="I13" s="39"/>
      <c r="J13" s="40" t="s">
        <v>1</v>
      </c>
    </row>
    <row r="14" ht="48" customHeight="1" spans="1:10" x14ac:dyDescent="0.25">
      <c r="A14" s="41" t="s">
        <v>1655</v>
      </c>
      <c r="B14" s="20" t="s">
        <v>33</v>
      </c>
      <c r="C14" s="42" t="s">
        <v>456</v>
      </c>
      <c r="D14" s="24" t="s">
        <v>457</v>
      </c>
      <c r="E14" s="20" t="s">
        <v>295</v>
      </c>
      <c r="F14" s="43" t="s">
        <v>458</v>
      </c>
      <c r="G14" s="38" t="s">
        <v>20</v>
      </c>
      <c r="H14" s="38" t="s">
        <v>1</v>
      </c>
      <c r="I14" s="39"/>
      <c r="J14" s="40" t="s">
        <v>1</v>
      </c>
    </row>
    <row r="15" ht="34" customHeight="1" spans="1:10" x14ac:dyDescent="0.25">
      <c r="A15" s="41" t="s">
        <v>1656</v>
      </c>
      <c r="B15" s="20" t="s">
        <v>35</v>
      </c>
      <c r="C15" s="42" t="s">
        <v>1657</v>
      </c>
      <c r="D15" s="24" t="s">
        <v>1658</v>
      </c>
      <c r="E15" s="20" t="s">
        <v>295</v>
      </c>
      <c r="F15" s="43" t="s">
        <v>1659</v>
      </c>
      <c r="G15" s="38" t="s">
        <v>20</v>
      </c>
      <c r="H15" s="38" t="s">
        <v>1</v>
      </c>
      <c r="I15" s="39"/>
      <c r="J15" s="40" t="s">
        <v>1</v>
      </c>
    </row>
    <row r="16" ht="34" customHeight="1" spans="1:10" x14ac:dyDescent="0.25">
      <c r="A16" s="41" t="s">
        <v>1660</v>
      </c>
      <c r="B16" s="20" t="s">
        <v>35</v>
      </c>
      <c r="C16" s="42" t="s">
        <v>1661</v>
      </c>
      <c r="D16" s="24" t="s">
        <v>1662</v>
      </c>
      <c r="E16" s="20" t="s">
        <v>295</v>
      </c>
      <c r="F16" s="43" t="s">
        <v>1663</v>
      </c>
      <c r="G16" s="38" t="s">
        <v>20</v>
      </c>
      <c r="H16" s="38" t="s">
        <v>1</v>
      </c>
      <c r="I16" s="39"/>
      <c r="J16" s="40" t="s">
        <v>1</v>
      </c>
    </row>
    <row r="17" ht="34" customHeight="1" spans="1:10" x14ac:dyDescent="0.25">
      <c r="A17" s="41" t="s">
        <v>1664</v>
      </c>
      <c r="B17" s="20" t="s">
        <v>35</v>
      </c>
      <c r="C17" s="42" t="s">
        <v>1665</v>
      </c>
      <c r="D17" s="24" t="s">
        <v>1666</v>
      </c>
      <c r="E17" s="20" t="s">
        <v>295</v>
      </c>
      <c r="F17" s="43" t="s">
        <v>1667</v>
      </c>
      <c r="G17" s="38" t="s">
        <v>20</v>
      </c>
      <c r="H17" s="38" t="s">
        <v>1</v>
      </c>
      <c r="I17" s="39"/>
      <c r="J17" s="40" t="s">
        <v>1</v>
      </c>
    </row>
    <row r="18" ht="20" customHeight="1" spans="1:10" x14ac:dyDescent="0.25">
      <c r="A18" s="41" t="s">
        <v>1668</v>
      </c>
      <c r="B18" s="20" t="s">
        <v>35</v>
      </c>
      <c r="C18" s="42" t="s">
        <v>1669</v>
      </c>
      <c r="D18" s="24" t="s">
        <v>1670</v>
      </c>
      <c r="E18" s="20" t="s">
        <v>295</v>
      </c>
      <c r="F18" s="43" t="s">
        <v>692</v>
      </c>
      <c r="G18" s="38" t="s">
        <v>20</v>
      </c>
      <c r="H18" s="38" t="s">
        <v>1</v>
      </c>
      <c r="I18" s="39"/>
      <c r="J18" s="40" t="s">
        <v>1</v>
      </c>
    </row>
    <row r="19" ht="34" customHeight="1" spans="1:10" x14ac:dyDescent="0.25">
      <c r="A19" s="41" t="s">
        <v>1671</v>
      </c>
      <c r="B19" s="20" t="s">
        <v>35</v>
      </c>
      <c r="C19" s="42" t="s">
        <v>1672</v>
      </c>
      <c r="D19" s="24" t="s">
        <v>1673</v>
      </c>
      <c r="E19" s="20" t="s">
        <v>359</v>
      </c>
      <c r="F19" s="43" t="s">
        <v>1674</v>
      </c>
      <c r="G19" s="38" t="s">
        <v>20</v>
      </c>
      <c r="H19" s="38" t="s">
        <v>1</v>
      </c>
      <c r="I19" s="39"/>
      <c r="J19" s="40" t="s">
        <v>1</v>
      </c>
    </row>
    <row r="20" ht="34" customHeight="1" spans="1:10" x14ac:dyDescent="0.25">
      <c r="A20" s="41" t="s">
        <v>1675</v>
      </c>
      <c r="B20" s="20" t="s">
        <v>35</v>
      </c>
      <c r="C20" s="42" t="s">
        <v>1676</v>
      </c>
      <c r="D20" s="24" t="s">
        <v>1677</v>
      </c>
      <c r="E20" s="20" t="s">
        <v>1678</v>
      </c>
      <c r="F20" s="43" t="s">
        <v>1679</v>
      </c>
      <c r="G20" s="38" t="s">
        <v>20</v>
      </c>
      <c r="H20" s="38" t="s">
        <v>1</v>
      </c>
      <c r="I20" s="39"/>
      <c r="J20" s="40" t="s">
        <v>1</v>
      </c>
    </row>
    <row r="21" ht="20" customHeight="1" spans="1:10" x14ac:dyDescent="0.25">
      <c r="A21" s="41" t="s">
        <v>1680</v>
      </c>
      <c r="B21" s="20" t="s">
        <v>37</v>
      </c>
      <c r="C21" s="42" t="s">
        <v>1681</v>
      </c>
      <c r="D21" s="24" t="s">
        <v>1682</v>
      </c>
      <c r="E21" s="20" t="s">
        <v>295</v>
      </c>
      <c r="F21" s="43" t="s">
        <v>692</v>
      </c>
      <c r="G21" s="38" t="s">
        <v>20</v>
      </c>
      <c r="H21" s="38" t="s">
        <v>1</v>
      </c>
      <c r="I21" s="39"/>
      <c r="J21" s="40" t="s">
        <v>1</v>
      </c>
    </row>
    <row r="22" ht="34" customHeight="1" spans="1:10" x14ac:dyDescent="0.25">
      <c r="A22" s="41" t="s">
        <v>1683</v>
      </c>
      <c r="B22" s="20" t="s">
        <v>41</v>
      </c>
      <c r="C22" s="42" t="s">
        <v>1684</v>
      </c>
      <c r="D22" s="24" t="s">
        <v>1685</v>
      </c>
      <c r="E22" s="20" t="s">
        <v>264</v>
      </c>
      <c r="F22" s="43" t="s">
        <v>1686</v>
      </c>
      <c r="G22" s="38" t="s">
        <v>20</v>
      </c>
      <c r="H22" s="38" t="s">
        <v>1</v>
      </c>
      <c r="I22" s="39"/>
      <c r="J22" s="40" t="s">
        <v>1</v>
      </c>
    </row>
    <row r="23" ht="34" customHeight="1" spans="1:10" x14ac:dyDescent="0.25">
      <c r="A23" s="41" t="s">
        <v>1687</v>
      </c>
      <c r="B23" s="20" t="s">
        <v>43</v>
      </c>
      <c r="C23" s="42" t="s">
        <v>516</v>
      </c>
      <c r="D23" s="24" t="s">
        <v>517</v>
      </c>
      <c r="E23" s="20" t="s">
        <v>295</v>
      </c>
      <c r="F23" s="43" t="s">
        <v>518</v>
      </c>
      <c r="G23" s="38" t="s">
        <v>20</v>
      </c>
      <c r="H23" s="38" t="s">
        <v>1</v>
      </c>
      <c r="I23" s="39"/>
      <c r="J23" s="40" t="s">
        <v>1</v>
      </c>
    </row>
    <row r="24" ht="34" customHeight="1" spans="1:10" x14ac:dyDescent="0.25">
      <c r="A24" s="41" t="s">
        <v>1688</v>
      </c>
      <c r="B24" s="20" t="s">
        <v>43</v>
      </c>
      <c r="C24" s="42" t="s">
        <v>520</v>
      </c>
      <c r="D24" s="24" t="s">
        <v>521</v>
      </c>
      <c r="E24" s="20" t="s">
        <v>392</v>
      </c>
      <c r="F24" s="43" t="s">
        <v>522</v>
      </c>
      <c r="G24" s="38" t="s">
        <v>20</v>
      </c>
      <c r="H24" s="38" t="s">
        <v>1</v>
      </c>
      <c r="I24" s="39"/>
      <c r="J24" s="40" t="s">
        <v>1</v>
      </c>
    </row>
    <row r="25" ht="34" customHeight="1" spans="1:10" x14ac:dyDescent="0.25">
      <c r="A25" s="41" t="s">
        <v>1689</v>
      </c>
      <c r="B25" s="20" t="s">
        <v>43</v>
      </c>
      <c r="C25" s="42" t="s">
        <v>524</v>
      </c>
      <c r="D25" s="24" t="s">
        <v>525</v>
      </c>
      <c r="E25" s="20" t="s">
        <v>392</v>
      </c>
      <c r="F25" s="43" t="s">
        <v>526</v>
      </c>
      <c r="G25" s="38" t="s">
        <v>20</v>
      </c>
      <c r="H25" s="38" t="s">
        <v>1</v>
      </c>
      <c r="I25" s="39"/>
      <c r="J25" s="40" t="s">
        <v>1</v>
      </c>
    </row>
    <row r="26" ht="34" customHeight="1" spans="1:10" x14ac:dyDescent="0.25">
      <c r="A26" s="41" t="s">
        <v>1690</v>
      </c>
      <c r="B26" s="20" t="s">
        <v>43</v>
      </c>
      <c r="C26" s="42" t="s">
        <v>1691</v>
      </c>
      <c r="D26" s="24" t="s">
        <v>1692</v>
      </c>
      <c r="E26" s="20" t="s">
        <v>392</v>
      </c>
      <c r="F26" s="43" t="s">
        <v>1693</v>
      </c>
      <c r="G26" s="38" t="s">
        <v>20</v>
      </c>
      <c r="H26" s="38" t="s">
        <v>1</v>
      </c>
      <c r="I26" s="39"/>
      <c r="J26" s="40" t="s">
        <v>1</v>
      </c>
    </row>
    <row r="27" ht="48" customHeight="1" spans="1:10" x14ac:dyDescent="0.25">
      <c r="A27" s="41" t="s">
        <v>1694</v>
      </c>
      <c r="B27" s="20" t="s">
        <v>45</v>
      </c>
      <c r="C27" s="42" t="s">
        <v>536</v>
      </c>
      <c r="D27" s="24" t="s">
        <v>537</v>
      </c>
      <c r="E27" s="20" t="s">
        <v>295</v>
      </c>
      <c r="F27" s="43" t="s">
        <v>538</v>
      </c>
      <c r="G27" s="38" t="s">
        <v>20</v>
      </c>
      <c r="H27" s="38" t="s">
        <v>1</v>
      </c>
      <c r="I27" s="39"/>
      <c r="J27" s="40" t="s">
        <v>1</v>
      </c>
    </row>
    <row r="28" ht="48" customHeight="1" spans="1:10" x14ac:dyDescent="0.25">
      <c r="A28" s="41" t="s">
        <v>1695</v>
      </c>
      <c r="B28" s="20" t="s">
        <v>45</v>
      </c>
      <c r="C28" s="42" t="s">
        <v>540</v>
      </c>
      <c r="D28" s="24" t="s">
        <v>1696</v>
      </c>
      <c r="E28" s="20" t="s">
        <v>295</v>
      </c>
      <c r="F28" s="43" t="s">
        <v>542</v>
      </c>
      <c r="G28" s="38" t="s">
        <v>20</v>
      </c>
      <c r="H28" s="38" t="s">
        <v>1</v>
      </c>
      <c r="I28" s="39"/>
      <c r="J28" s="40" t="s">
        <v>1</v>
      </c>
    </row>
    <row r="29" ht="34" customHeight="1" spans="1:10" x14ac:dyDescent="0.25">
      <c r="A29" s="41" t="s">
        <v>1697</v>
      </c>
      <c r="B29" s="20" t="s">
        <v>45</v>
      </c>
      <c r="C29" s="42" t="s">
        <v>544</v>
      </c>
      <c r="D29" s="24" t="s">
        <v>545</v>
      </c>
      <c r="E29" s="20" t="s">
        <v>295</v>
      </c>
      <c r="F29" s="43" t="s">
        <v>546</v>
      </c>
      <c r="G29" s="38" t="s">
        <v>20</v>
      </c>
      <c r="H29" s="38" t="s">
        <v>1</v>
      </c>
      <c r="I29" s="39"/>
      <c r="J29" s="40" t="s">
        <v>1</v>
      </c>
    </row>
    <row r="30" ht="34" customHeight="1" spans="1:10" x14ac:dyDescent="0.25">
      <c r="A30" s="41" t="s">
        <v>1698</v>
      </c>
      <c r="B30" s="20" t="s">
        <v>45</v>
      </c>
      <c r="C30" s="42" t="s">
        <v>548</v>
      </c>
      <c r="D30" s="24" t="s">
        <v>1699</v>
      </c>
      <c r="E30" s="20" t="s">
        <v>550</v>
      </c>
      <c r="F30" s="43" t="s">
        <v>551</v>
      </c>
      <c r="G30" s="38" t="s">
        <v>20</v>
      </c>
      <c r="H30" s="38" t="s">
        <v>1</v>
      </c>
      <c r="I30" s="39"/>
      <c r="J30" s="40" t="s">
        <v>1</v>
      </c>
    </row>
    <row r="31" ht="34" customHeight="1" spans="1:10" x14ac:dyDescent="0.25">
      <c r="A31" s="33" t="s">
        <v>1700</v>
      </c>
      <c r="B31" s="34" t="s">
        <v>47</v>
      </c>
      <c r="C31" s="35" t="s">
        <v>289</v>
      </c>
      <c r="D31" s="36" t="s">
        <v>1701</v>
      </c>
      <c r="E31" s="34" t="s">
        <v>290</v>
      </c>
      <c r="F31" s="37" t="s">
        <v>291</v>
      </c>
      <c r="G31" s="38" t="s">
        <v>20</v>
      </c>
      <c r="H31" s="38" t="s">
        <v>1</v>
      </c>
      <c r="I31" s="39"/>
      <c r="J31" s="40" t="s">
        <v>1</v>
      </c>
    </row>
    <row r="32" ht="34" customHeight="1" spans="1:10" x14ac:dyDescent="0.25">
      <c r="A32" s="33" t="s">
        <v>1702</v>
      </c>
      <c r="B32" s="34" t="s">
        <v>47</v>
      </c>
      <c r="C32" s="35" t="s">
        <v>425</v>
      </c>
      <c r="D32" s="36" t="s">
        <v>1703</v>
      </c>
      <c r="E32" s="34" t="s">
        <v>427</v>
      </c>
      <c r="F32" s="37" t="s">
        <v>556</v>
      </c>
      <c r="G32" s="38" t="s">
        <v>20</v>
      </c>
      <c r="H32" s="38" t="s">
        <v>1</v>
      </c>
      <c r="I32" s="39"/>
      <c r="J32" s="40" t="s">
        <v>1</v>
      </c>
    </row>
    <row r="33" ht="34" customHeight="1" spans="1:10" x14ac:dyDescent="0.25">
      <c r="A33" s="33" t="s">
        <v>1704</v>
      </c>
      <c r="B33" s="34" t="s">
        <v>47</v>
      </c>
      <c r="C33" s="35" t="s">
        <v>1705</v>
      </c>
      <c r="D33" s="36" t="s">
        <v>1706</v>
      </c>
      <c r="E33" s="34" t="s">
        <v>295</v>
      </c>
      <c r="F33" s="37" t="s">
        <v>560</v>
      </c>
      <c r="G33" s="38" t="s">
        <v>20</v>
      </c>
      <c r="H33" s="38" t="s">
        <v>1</v>
      </c>
      <c r="I33" s="39"/>
      <c r="J33" s="40" t="s">
        <v>1</v>
      </c>
    </row>
    <row r="34" spans="7:10" x14ac:dyDescent="0.25">
      <c r="G34" s="44"/>
      <c r="H34" s="44"/>
      <c r="I34" s="45"/>
      <c r="J34" s="44"/>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sheetData>
  <autoFilter ref="A8:J33"/>
  <mergeCells count="6">
    <mergeCell ref="A1:I1"/>
    <mergeCell ref="B2:J2"/>
    <mergeCell ref="B3:J3"/>
    <mergeCell ref="B4:J4"/>
    <mergeCell ref="B5:J5"/>
    <mergeCell ref="A7:J7"/>
  </mergeCells>
  <conditionalFormatting sqref="J6">
    <cfRule type="cellIs" dxfId="266" priority="1" operator="equal">
      <formula>"Done"</formula>
    </cfRule>
    <cfRule type="cellIs" dxfId="267" priority="2" operator="equal">
      <formula>"Complete"</formula>
    </cfRule>
    <cfRule type="cellIs" dxfId="268" priority="3" operator="equal">
      <formula>"In progress"</formula>
    </cfRule>
    <cfRule type="cellIs" dxfId="269" priority="4" operator="equal">
      <formula>"Blocked"</formula>
    </cfRule>
    <cfRule type="cellIs" dxfId="270" priority="5" operator="equal">
      <formula>"N/A"</formula>
    </cfRule>
    <cfRule type="cellIs" dxfId="271" priority="6" operator="equal">
      <formula>"Decided"</formula>
    </cfRule>
    <cfRule type="cellIs" dxfId="272" priority="7" operator="equal">
      <formula>"Open"</formula>
    </cfRule>
  </conditionalFormatting>
  <conditionalFormatting sqref="A7">
    <cfRule type="containsText" dxfId="273" priority="8">
      <formula>NOT(ISERROR(SEARCH("LOCKED",A7)))</formula>
    </cfRule>
    <cfRule type="containsText" dxfId="274" priority="9">
      <formula>NOT(ISERROR(SEARCH("READY",A7)))</formula>
    </cfRule>
  </conditionalFormatting>
  <conditionalFormatting sqref="G9:G400">
    <cfRule type="cellIs" dxfId="275" priority="10" operator="equal">
      <formula>"Done"</formula>
    </cfRule>
    <cfRule type="cellIs" dxfId="276" priority="11" operator="equal">
      <formula>"Complete"</formula>
    </cfRule>
    <cfRule type="cellIs" dxfId="277" priority="12" operator="equal">
      <formula>"In progress"</formula>
    </cfRule>
    <cfRule type="cellIs" dxfId="278" priority="13" operator="equal">
      <formula>"Blocked"</formula>
    </cfRule>
    <cfRule type="cellIs" dxfId="279" priority="14" operator="equal">
      <formula>"N/A"</formula>
    </cfRule>
    <cfRule type="cellIs" dxfId="280" priority="15" operator="equal">
      <formula>"Decided"</formula>
    </cfRule>
    <cfRule type="cellIs" dxfId="281" priority="16" operator="equal">
      <formula>"Open"</formula>
    </cfRule>
  </conditionalFormatting>
  <dataValidations count="4">
    <dataValidation type="list" allowBlank="1" showErrorMessage="1" errorTitle="Status" error="Choose a value from the list." sqref="G10:G48">
      <formula1>"Not started,In progress,Blocked,Done,N/A"</formula1>
    </dataValidation>
    <dataValidation type="list" allowBlank="1" showErrorMessage="1" errorTitle="Status" error="Choose a value from the list." sqref="G9:G48">
      <formula1>"Not started,In progress,Blocked,Done,N/A"</formula1>
    </dataValidation>
    <dataValidation type="date" operator="greaterThan" allowBlank="1" showErrorMessage="1" errorTitle="Date done" error="Enter a date (yyyy-mm-dd)." sqref="I10:I48">
      <formula1>46023</formula1>
    </dataValidation>
    <dataValidation type="date" operator="greaterThan" allowBlank="1" showErrorMessage="1" errorTitle="Date done" error="Enter a date (yyyy-mm-dd)." sqref="I9:I48">
      <formula1>46023</formula1>
    </dataValidation>
  </dataValidations>
  <hyperlinks>
    <hyperlink ref="J1" r:id="rId1" location="#'Dashboard'!A1"/>
  </hyperlinks>
  <pageSetup paperSize="9" orientation="landscape" fitToWidth="1"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50"/>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1707</v>
      </c>
      <c r="B1" s="27"/>
      <c r="C1" s="27"/>
      <c r="D1" s="27"/>
      <c r="E1" s="27"/>
      <c r="F1" s="27"/>
      <c r="G1" s="27"/>
      <c r="H1" s="27"/>
      <c r="I1" s="27"/>
      <c r="J1" s="28" t="s">
        <v>202</v>
      </c>
    </row>
    <row r="2" ht="17" customHeight="1" spans="1:10" x14ac:dyDescent="0.25">
      <c r="A2" s="29" t="s">
        <v>203</v>
      </c>
      <c r="B2" s="6" t="s">
        <v>1708</v>
      </c>
      <c r="C2" s="6"/>
      <c r="D2" s="6"/>
      <c r="E2" s="6"/>
      <c r="F2" s="6"/>
      <c r="G2" s="6"/>
      <c r="H2" s="6"/>
      <c r="I2" s="6"/>
      <c r="J2" s="6"/>
    </row>
    <row r="3" ht="17" customHeight="1" spans="1:10" x14ac:dyDescent="0.25">
      <c r="A3" s="29" t="s">
        <v>205</v>
      </c>
      <c r="B3" s="6" t="s">
        <v>1709</v>
      </c>
      <c r="C3" s="6"/>
      <c r="D3" s="6"/>
      <c r="E3" s="6"/>
      <c r="F3" s="6"/>
      <c r="G3" s="6"/>
      <c r="H3" s="6"/>
      <c r="I3" s="6"/>
      <c r="J3" s="6"/>
    </row>
    <row r="4" ht="17" customHeight="1" spans="1:10" x14ac:dyDescent="0.25">
      <c r="A4" s="29" t="s">
        <v>207</v>
      </c>
      <c r="B4" s="6" t="s">
        <v>1710</v>
      </c>
      <c r="C4" s="6"/>
      <c r="D4" s="6"/>
      <c r="E4" s="6"/>
      <c r="F4" s="6"/>
      <c r="G4" s="6"/>
      <c r="H4" s="6"/>
      <c r="I4" s="6"/>
      <c r="J4" s="6"/>
    </row>
    <row r="5" ht="17" customHeight="1" spans="1:10" x14ac:dyDescent="0.25">
      <c r="A5" s="29" t="s">
        <v>98</v>
      </c>
      <c r="B5" s="2" t="s">
        <v>189</v>
      </c>
      <c r="C5" s="2"/>
      <c r="D5" s="2"/>
      <c r="E5" s="2"/>
      <c r="F5" s="2"/>
      <c r="G5" s="2"/>
      <c r="H5" s="2"/>
      <c r="I5" s="2"/>
      <c r="J5" s="2"/>
    </row>
    <row r="6" spans="1:10" x14ac:dyDescent="0.25">
      <c r="A6" s="17" t="s">
        <v>92</v>
      </c>
      <c r="B6" s="30">
        <f>IF(D6=0,0,F6/D6)</f>
        <v>0</v>
      </c>
      <c r="C6" s="17" t="s">
        <v>91</v>
      </c>
      <c r="D6" s="31">
        <f>COUNTA(C9:C400)</f>
        <v>27</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IF('M17 Audit'!$B$6=1,"READY: M17 is complete. Work the steps in order, 0 Gate in to 8 Gate out.","LOCKED: finish M17 Audit first. Do not start work on this sheet.")</f>
        <v>LOCKED: finish M17 Audit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1711</v>
      </c>
      <c r="B9" s="34" t="s">
        <v>31</v>
      </c>
      <c r="C9" s="35" t="s">
        <v>1712</v>
      </c>
      <c r="D9" s="36" t="s">
        <v>1713</v>
      </c>
      <c r="E9" s="34" t="s">
        <v>290</v>
      </c>
      <c r="F9" s="37" t="s">
        <v>304</v>
      </c>
      <c r="G9" s="38" t="s">
        <v>20</v>
      </c>
      <c r="H9" s="38" t="s">
        <v>1</v>
      </c>
      <c r="I9" s="39"/>
      <c r="J9" s="40" t="s">
        <v>1</v>
      </c>
    </row>
    <row r="10" ht="34" customHeight="1" spans="1:10" x14ac:dyDescent="0.25">
      <c r="A10" s="33" t="s">
        <v>1714</v>
      </c>
      <c r="B10" s="34" t="s">
        <v>31</v>
      </c>
      <c r="C10" s="35" t="s">
        <v>441</v>
      </c>
      <c r="D10" s="36" t="s">
        <v>1715</v>
      </c>
      <c r="E10" s="34" t="s">
        <v>443</v>
      </c>
      <c r="F10" s="37" t="s">
        <v>444</v>
      </c>
      <c r="G10" s="38" t="s">
        <v>20</v>
      </c>
      <c r="H10" s="38" t="s">
        <v>1</v>
      </c>
      <c r="I10" s="39"/>
      <c r="J10" s="40" t="s">
        <v>1</v>
      </c>
    </row>
    <row r="11" ht="34" customHeight="1" spans="1:10" x14ac:dyDescent="0.25">
      <c r="A11" s="33" t="s">
        <v>1716</v>
      </c>
      <c r="B11" s="34" t="s">
        <v>31</v>
      </c>
      <c r="C11" s="35" t="s">
        <v>306</v>
      </c>
      <c r="D11" s="36" t="s">
        <v>1717</v>
      </c>
      <c r="E11" s="34" t="s">
        <v>308</v>
      </c>
      <c r="F11" s="37" t="s">
        <v>309</v>
      </c>
      <c r="G11" s="38" t="s">
        <v>20</v>
      </c>
      <c r="H11" s="38" t="s">
        <v>1</v>
      </c>
      <c r="I11" s="39"/>
      <c r="J11" s="40" t="s">
        <v>1</v>
      </c>
    </row>
    <row r="12" ht="62" customHeight="1" spans="1:10" x14ac:dyDescent="0.25">
      <c r="A12" s="41" t="s">
        <v>1718</v>
      </c>
      <c r="B12" s="20" t="s">
        <v>33</v>
      </c>
      <c r="C12" s="42" t="s">
        <v>448</v>
      </c>
      <c r="D12" s="24" t="s">
        <v>1719</v>
      </c>
      <c r="E12" s="20" t="s">
        <v>295</v>
      </c>
      <c r="F12" s="43" t="s">
        <v>1720</v>
      </c>
      <c r="G12" s="38" t="s">
        <v>20</v>
      </c>
      <c r="H12" s="38" t="s">
        <v>1</v>
      </c>
      <c r="I12" s="39"/>
      <c r="J12" s="40" t="s">
        <v>1</v>
      </c>
    </row>
    <row r="13" ht="48" customHeight="1" spans="1:10" x14ac:dyDescent="0.25">
      <c r="A13" s="41" t="s">
        <v>1721</v>
      </c>
      <c r="B13" s="20" t="s">
        <v>33</v>
      </c>
      <c r="C13" s="42" t="s">
        <v>456</v>
      </c>
      <c r="D13" s="24" t="s">
        <v>457</v>
      </c>
      <c r="E13" s="20" t="s">
        <v>295</v>
      </c>
      <c r="F13" s="43" t="s">
        <v>458</v>
      </c>
      <c r="G13" s="38" t="s">
        <v>20</v>
      </c>
      <c r="H13" s="38" t="s">
        <v>1</v>
      </c>
      <c r="I13" s="39"/>
      <c r="J13" s="40" t="s">
        <v>1</v>
      </c>
    </row>
    <row r="14" ht="34" customHeight="1" spans="1:10" x14ac:dyDescent="0.25">
      <c r="A14" s="41" t="s">
        <v>1722</v>
      </c>
      <c r="B14" s="20" t="s">
        <v>33</v>
      </c>
      <c r="C14" s="42" t="s">
        <v>460</v>
      </c>
      <c r="D14" s="24" t="s">
        <v>1723</v>
      </c>
      <c r="E14" s="20" t="s">
        <v>295</v>
      </c>
      <c r="F14" s="43" t="s">
        <v>462</v>
      </c>
      <c r="G14" s="38" t="s">
        <v>20</v>
      </c>
      <c r="H14" s="38" t="s">
        <v>1</v>
      </c>
      <c r="I14" s="39"/>
      <c r="J14" s="40" t="s">
        <v>1</v>
      </c>
    </row>
    <row r="15" ht="34" customHeight="1" spans="1:10" x14ac:dyDescent="0.25">
      <c r="A15" s="41" t="s">
        <v>1724</v>
      </c>
      <c r="B15" s="20" t="s">
        <v>35</v>
      </c>
      <c r="C15" s="42" t="s">
        <v>1725</v>
      </c>
      <c r="D15" s="24" t="s">
        <v>1726</v>
      </c>
      <c r="E15" s="20" t="s">
        <v>295</v>
      </c>
      <c r="F15" s="43" t="s">
        <v>1727</v>
      </c>
      <c r="G15" s="38" t="s">
        <v>20</v>
      </c>
      <c r="H15" s="38" t="s">
        <v>1</v>
      </c>
      <c r="I15" s="39"/>
      <c r="J15" s="40" t="s">
        <v>1</v>
      </c>
    </row>
    <row r="16" ht="34" customHeight="1" spans="1:10" x14ac:dyDescent="0.25">
      <c r="A16" s="41" t="s">
        <v>1728</v>
      </c>
      <c r="B16" s="20" t="s">
        <v>35</v>
      </c>
      <c r="C16" s="42" t="s">
        <v>1729</v>
      </c>
      <c r="D16" s="24" t="s">
        <v>1730</v>
      </c>
      <c r="E16" s="20" t="s">
        <v>295</v>
      </c>
      <c r="F16" s="43" t="s">
        <v>1731</v>
      </c>
      <c r="G16" s="38" t="s">
        <v>20</v>
      </c>
      <c r="H16" s="38" t="s">
        <v>1</v>
      </c>
      <c r="I16" s="39"/>
      <c r="J16" s="40" t="s">
        <v>1</v>
      </c>
    </row>
    <row r="17" ht="34" customHeight="1" spans="1:10" x14ac:dyDescent="0.25">
      <c r="A17" s="41" t="s">
        <v>1732</v>
      </c>
      <c r="B17" s="20" t="s">
        <v>35</v>
      </c>
      <c r="C17" s="42" t="s">
        <v>1733</v>
      </c>
      <c r="D17" s="24" t="s">
        <v>1734</v>
      </c>
      <c r="E17" s="20" t="s">
        <v>295</v>
      </c>
      <c r="F17" s="43" t="s">
        <v>1735</v>
      </c>
      <c r="G17" s="38" t="s">
        <v>20</v>
      </c>
      <c r="H17" s="38" t="s">
        <v>1</v>
      </c>
      <c r="I17" s="39"/>
      <c r="J17" s="40" t="s">
        <v>1</v>
      </c>
    </row>
    <row r="18" ht="34" customHeight="1" spans="1:10" x14ac:dyDescent="0.25">
      <c r="A18" s="41" t="s">
        <v>1736</v>
      </c>
      <c r="B18" s="20" t="s">
        <v>35</v>
      </c>
      <c r="C18" s="42" t="s">
        <v>1737</v>
      </c>
      <c r="D18" s="24" t="s">
        <v>1738</v>
      </c>
      <c r="E18" s="20" t="s">
        <v>295</v>
      </c>
      <c r="F18" s="43" t="s">
        <v>1739</v>
      </c>
      <c r="G18" s="38" t="s">
        <v>20</v>
      </c>
      <c r="H18" s="38" t="s">
        <v>1</v>
      </c>
      <c r="I18" s="39"/>
      <c r="J18" s="40" t="s">
        <v>1</v>
      </c>
    </row>
    <row r="19" ht="20" customHeight="1" spans="1:10" x14ac:dyDescent="0.25">
      <c r="A19" s="41" t="s">
        <v>1740</v>
      </c>
      <c r="B19" s="20" t="s">
        <v>35</v>
      </c>
      <c r="C19" s="42" t="s">
        <v>1741</v>
      </c>
      <c r="D19" s="24" t="s">
        <v>1742</v>
      </c>
      <c r="E19" s="20" t="s">
        <v>295</v>
      </c>
      <c r="F19" s="43" t="s">
        <v>1743</v>
      </c>
      <c r="G19" s="38" t="s">
        <v>20</v>
      </c>
      <c r="H19" s="38" t="s">
        <v>1</v>
      </c>
      <c r="I19" s="39"/>
      <c r="J19" s="40" t="s">
        <v>1</v>
      </c>
    </row>
    <row r="20" ht="34" customHeight="1" spans="1:10" x14ac:dyDescent="0.25">
      <c r="A20" s="41" t="s">
        <v>1744</v>
      </c>
      <c r="B20" s="20" t="s">
        <v>35</v>
      </c>
      <c r="C20" s="42" t="s">
        <v>1745</v>
      </c>
      <c r="D20" s="24" t="s">
        <v>1746</v>
      </c>
      <c r="E20" s="20" t="s">
        <v>285</v>
      </c>
      <c r="F20" s="43" t="s">
        <v>1747</v>
      </c>
      <c r="G20" s="38" t="s">
        <v>20</v>
      </c>
      <c r="H20" s="38" t="s">
        <v>1</v>
      </c>
      <c r="I20" s="39"/>
      <c r="J20" s="40" t="s">
        <v>1</v>
      </c>
    </row>
    <row r="21" ht="34" customHeight="1" spans="1:10" x14ac:dyDescent="0.25">
      <c r="A21" s="41" t="s">
        <v>1748</v>
      </c>
      <c r="B21" s="20" t="s">
        <v>35</v>
      </c>
      <c r="C21" s="42" t="s">
        <v>1749</v>
      </c>
      <c r="D21" s="24" t="s">
        <v>1750</v>
      </c>
      <c r="E21" s="20" t="s">
        <v>285</v>
      </c>
      <c r="F21" s="43" t="s">
        <v>1751</v>
      </c>
      <c r="G21" s="38" t="s">
        <v>20</v>
      </c>
      <c r="H21" s="38" t="s">
        <v>1</v>
      </c>
      <c r="I21" s="39"/>
      <c r="J21" s="40" t="s">
        <v>1</v>
      </c>
    </row>
    <row r="22" ht="34" customHeight="1" spans="1:10" x14ac:dyDescent="0.25">
      <c r="A22" s="41" t="s">
        <v>1752</v>
      </c>
      <c r="B22" s="20" t="s">
        <v>35</v>
      </c>
      <c r="C22" s="42" t="s">
        <v>1753</v>
      </c>
      <c r="D22" s="24" t="s">
        <v>1754</v>
      </c>
      <c r="E22" s="20" t="s">
        <v>285</v>
      </c>
      <c r="F22" s="43" t="s">
        <v>1755</v>
      </c>
      <c r="G22" s="38" t="s">
        <v>20</v>
      </c>
      <c r="H22" s="38" t="s">
        <v>1</v>
      </c>
      <c r="I22" s="39"/>
      <c r="J22" s="40" t="s">
        <v>1</v>
      </c>
    </row>
    <row r="23" ht="20" customHeight="1" spans="1:10" x14ac:dyDescent="0.25">
      <c r="A23" s="41" t="s">
        <v>1756</v>
      </c>
      <c r="B23" s="20" t="s">
        <v>37</v>
      </c>
      <c r="C23" s="42" t="s">
        <v>1757</v>
      </c>
      <c r="D23" s="24" t="s">
        <v>1758</v>
      </c>
      <c r="E23" s="20" t="s">
        <v>295</v>
      </c>
      <c r="F23" s="43" t="s">
        <v>618</v>
      </c>
      <c r="G23" s="38" t="s">
        <v>20</v>
      </c>
      <c r="H23" s="38" t="s">
        <v>1</v>
      </c>
      <c r="I23" s="39"/>
      <c r="J23" s="40" t="s">
        <v>1</v>
      </c>
    </row>
    <row r="24" ht="34" customHeight="1" spans="1:10" x14ac:dyDescent="0.25">
      <c r="A24" s="41" t="s">
        <v>1759</v>
      </c>
      <c r="B24" s="20" t="s">
        <v>41</v>
      </c>
      <c r="C24" s="42" t="s">
        <v>1760</v>
      </c>
      <c r="D24" s="24" t="s">
        <v>1761</v>
      </c>
      <c r="E24" s="20" t="s">
        <v>264</v>
      </c>
      <c r="F24" s="43" t="s">
        <v>1762</v>
      </c>
      <c r="G24" s="38" t="s">
        <v>20</v>
      </c>
      <c r="H24" s="38" t="s">
        <v>1</v>
      </c>
      <c r="I24" s="39"/>
      <c r="J24" s="40" t="s">
        <v>1</v>
      </c>
    </row>
    <row r="25" ht="34" customHeight="1" spans="1:10" x14ac:dyDescent="0.25">
      <c r="A25" s="41" t="s">
        <v>1763</v>
      </c>
      <c r="B25" s="20" t="s">
        <v>43</v>
      </c>
      <c r="C25" s="42" t="s">
        <v>516</v>
      </c>
      <c r="D25" s="24" t="s">
        <v>517</v>
      </c>
      <c r="E25" s="20" t="s">
        <v>295</v>
      </c>
      <c r="F25" s="43" t="s">
        <v>518</v>
      </c>
      <c r="G25" s="38" t="s">
        <v>20</v>
      </c>
      <c r="H25" s="38" t="s">
        <v>1</v>
      </c>
      <c r="I25" s="39"/>
      <c r="J25" s="40" t="s">
        <v>1</v>
      </c>
    </row>
    <row r="26" ht="34" customHeight="1" spans="1:10" x14ac:dyDescent="0.25">
      <c r="A26" s="41" t="s">
        <v>1764</v>
      </c>
      <c r="B26" s="20" t="s">
        <v>43</v>
      </c>
      <c r="C26" s="42" t="s">
        <v>520</v>
      </c>
      <c r="D26" s="24" t="s">
        <v>521</v>
      </c>
      <c r="E26" s="20" t="s">
        <v>392</v>
      </c>
      <c r="F26" s="43" t="s">
        <v>522</v>
      </c>
      <c r="G26" s="38" t="s">
        <v>20</v>
      </c>
      <c r="H26" s="38" t="s">
        <v>1</v>
      </c>
      <c r="I26" s="39"/>
      <c r="J26" s="40" t="s">
        <v>1</v>
      </c>
    </row>
    <row r="27" ht="34" customHeight="1" spans="1:10" x14ac:dyDescent="0.25">
      <c r="A27" s="41" t="s">
        <v>1765</v>
      </c>
      <c r="B27" s="20" t="s">
        <v>43</v>
      </c>
      <c r="C27" s="42" t="s">
        <v>524</v>
      </c>
      <c r="D27" s="24" t="s">
        <v>525</v>
      </c>
      <c r="E27" s="20" t="s">
        <v>392</v>
      </c>
      <c r="F27" s="43" t="s">
        <v>526</v>
      </c>
      <c r="G27" s="38" t="s">
        <v>20</v>
      </c>
      <c r="H27" s="38" t="s">
        <v>1</v>
      </c>
      <c r="I27" s="39"/>
      <c r="J27" s="40" t="s">
        <v>1</v>
      </c>
    </row>
    <row r="28" ht="34" customHeight="1" spans="1:10" x14ac:dyDescent="0.25">
      <c r="A28" s="41" t="s">
        <v>1766</v>
      </c>
      <c r="B28" s="20" t="s">
        <v>43</v>
      </c>
      <c r="C28" s="42" t="s">
        <v>1767</v>
      </c>
      <c r="D28" s="24" t="s">
        <v>1768</v>
      </c>
      <c r="E28" s="20" t="s">
        <v>392</v>
      </c>
      <c r="F28" s="43" t="s">
        <v>1769</v>
      </c>
      <c r="G28" s="38" t="s">
        <v>20</v>
      </c>
      <c r="H28" s="38" t="s">
        <v>1</v>
      </c>
      <c r="I28" s="39"/>
      <c r="J28" s="40" t="s">
        <v>1</v>
      </c>
    </row>
    <row r="29" ht="48" customHeight="1" spans="1:10" x14ac:dyDescent="0.25">
      <c r="A29" s="41" t="s">
        <v>1770</v>
      </c>
      <c r="B29" s="20" t="s">
        <v>45</v>
      </c>
      <c r="C29" s="42" t="s">
        <v>536</v>
      </c>
      <c r="D29" s="24" t="s">
        <v>537</v>
      </c>
      <c r="E29" s="20" t="s">
        <v>295</v>
      </c>
      <c r="F29" s="43" t="s">
        <v>538</v>
      </c>
      <c r="G29" s="38" t="s">
        <v>20</v>
      </c>
      <c r="H29" s="38" t="s">
        <v>1</v>
      </c>
      <c r="I29" s="39"/>
      <c r="J29" s="40" t="s">
        <v>1</v>
      </c>
    </row>
    <row r="30" ht="48" customHeight="1" spans="1:10" x14ac:dyDescent="0.25">
      <c r="A30" s="41" t="s">
        <v>1771</v>
      </c>
      <c r="B30" s="20" t="s">
        <v>45</v>
      </c>
      <c r="C30" s="42" t="s">
        <v>540</v>
      </c>
      <c r="D30" s="24" t="s">
        <v>1772</v>
      </c>
      <c r="E30" s="20" t="s">
        <v>295</v>
      </c>
      <c r="F30" s="43" t="s">
        <v>542</v>
      </c>
      <c r="G30" s="38" t="s">
        <v>20</v>
      </c>
      <c r="H30" s="38" t="s">
        <v>1</v>
      </c>
      <c r="I30" s="39"/>
      <c r="J30" s="40" t="s">
        <v>1</v>
      </c>
    </row>
    <row r="31" ht="34" customHeight="1" spans="1:10" x14ac:dyDescent="0.25">
      <c r="A31" s="41" t="s">
        <v>1773</v>
      </c>
      <c r="B31" s="20" t="s">
        <v>45</v>
      </c>
      <c r="C31" s="42" t="s">
        <v>544</v>
      </c>
      <c r="D31" s="24" t="s">
        <v>545</v>
      </c>
      <c r="E31" s="20" t="s">
        <v>295</v>
      </c>
      <c r="F31" s="43" t="s">
        <v>546</v>
      </c>
      <c r="G31" s="38" t="s">
        <v>20</v>
      </c>
      <c r="H31" s="38" t="s">
        <v>1</v>
      </c>
      <c r="I31" s="39"/>
      <c r="J31" s="40" t="s">
        <v>1</v>
      </c>
    </row>
    <row r="32" ht="34" customHeight="1" spans="1:10" x14ac:dyDescent="0.25">
      <c r="A32" s="41" t="s">
        <v>1774</v>
      </c>
      <c r="B32" s="20" t="s">
        <v>45</v>
      </c>
      <c r="C32" s="42" t="s">
        <v>548</v>
      </c>
      <c r="D32" s="24" t="s">
        <v>1775</v>
      </c>
      <c r="E32" s="20" t="s">
        <v>550</v>
      </c>
      <c r="F32" s="43" t="s">
        <v>551</v>
      </c>
      <c r="G32" s="38" t="s">
        <v>20</v>
      </c>
      <c r="H32" s="38" t="s">
        <v>1</v>
      </c>
      <c r="I32" s="39"/>
      <c r="J32" s="40" t="s">
        <v>1</v>
      </c>
    </row>
    <row r="33" ht="48" customHeight="1" spans="1:10" x14ac:dyDescent="0.25">
      <c r="A33" s="33" t="s">
        <v>1776</v>
      </c>
      <c r="B33" s="34" t="s">
        <v>47</v>
      </c>
      <c r="C33" s="35" t="s">
        <v>289</v>
      </c>
      <c r="D33" s="36" t="s">
        <v>1777</v>
      </c>
      <c r="E33" s="34" t="s">
        <v>290</v>
      </c>
      <c r="F33" s="37" t="s">
        <v>291</v>
      </c>
      <c r="G33" s="38" t="s">
        <v>20</v>
      </c>
      <c r="H33" s="38" t="s">
        <v>1</v>
      </c>
      <c r="I33" s="39"/>
      <c r="J33" s="40" t="s">
        <v>1</v>
      </c>
    </row>
    <row r="34" ht="20" customHeight="1" spans="1:10" x14ac:dyDescent="0.25">
      <c r="A34" s="33" t="s">
        <v>1778</v>
      </c>
      <c r="B34" s="34" t="s">
        <v>47</v>
      </c>
      <c r="C34" s="35" t="s">
        <v>425</v>
      </c>
      <c r="D34" s="36" t="s">
        <v>720</v>
      </c>
      <c r="E34" s="34" t="s">
        <v>290</v>
      </c>
      <c r="F34" s="37" t="s">
        <v>556</v>
      </c>
      <c r="G34" s="38" t="s">
        <v>20</v>
      </c>
      <c r="H34" s="38" t="s">
        <v>1</v>
      </c>
      <c r="I34" s="39"/>
      <c r="J34" s="40" t="s">
        <v>1</v>
      </c>
    </row>
    <row r="35" ht="34" customHeight="1" spans="1:10" x14ac:dyDescent="0.25">
      <c r="A35" s="33" t="s">
        <v>1779</v>
      </c>
      <c r="B35" s="34" t="s">
        <v>47</v>
      </c>
      <c r="C35" s="35" t="s">
        <v>1780</v>
      </c>
      <c r="D35" s="36" t="s">
        <v>1781</v>
      </c>
      <c r="E35" s="34" t="s">
        <v>295</v>
      </c>
      <c r="F35" s="37" t="s">
        <v>560</v>
      </c>
      <c r="G35" s="38" t="s">
        <v>20</v>
      </c>
      <c r="H35" s="38" t="s">
        <v>1</v>
      </c>
      <c r="I35" s="39"/>
      <c r="J35" s="40" t="s">
        <v>1</v>
      </c>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row r="45" spans="7:10" x14ac:dyDescent="0.25">
      <c r="G45" s="44"/>
      <c r="H45" s="44"/>
      <c r="I45" s="45"/>
      <c r="J45" s="44"/>
    </row>
    <row r="46" spans="7:10" x14ac:dyDescent="0.25">
      <c r="G46" s="44"/>
      <c r="H46" s="44"/>
      <c r="I46" s="45"/>
      <c r="J46" s="44"/>
    </row>
    <row r="47" spans="7:10" x14ac:dyDescent="0.25">
      <c r="G47" s="44"/>
      <c r="H47" s="44"/>
      <c r="I47" s="45"/>
      <c r="J47" s="44"/>
    </row>
    <row r="48" spans="7:10" x14ac:dyDescent="0.25">
      <c r="G48" s="44"/>
      <c r="H48" s="44"/>
      <c r="I48" s="45"/>
      <c r="J48" s="44"/>
    </row>
    <row r="49" spans="7:10" x14ac:dyDescent="0.25">
      <c r="G49" s="44"/>
      <c r="H49" s="44"/>
      <c r="I49" s="45"/>
      <c r="J49" s="44"/>
    </row>
    <row r="50" spans="7:10" x14ac:dyDescent="0.25">
      <c r="G50" s="44"/>
      <c r="H50" s="44"/>
      <c r="I50" s="45"/>
      <c r="J50" s="44"/>
    </row>
  </sheetData>
  <autoFilter ref="A8:J35"/>
  <mergeCells count="6">
    <mergeCell ref="A1:I1"/>
    <mergeCell ref="B2:J2"/>
    <mergeCell ref="B3:J3"/>
    <mergeCell ref="B4:J4"/>
    <mergeCell ref="B5:J5"/>
    <mergeCell ref="A7:J7"/>
  </mergeCells>
  <conditionalFormatting sqref="J6">
    <cfRule type="cellIs" dxfId="282" priority="1" operator="equal">
      <formula>"Done"</formula>
    </cfRule>
    <cfRule type="cellIs" dxfId="283" priority="2" operator="equal">
      <formula>"Complete"</formula>
    </cfRule>
    <cfRule type="cellIs" dxfId="284" priority="3" operator="equal">
      <formula>"In progress"</formula>
    </cfRule>
    <cfRule type="cellIs" dxfId="285" priority="4" operator="equal">
      <formula>"Blocked"</formula>
    </cfRule>
    <cfRule type="cellIs" dxfId="286" priority="5" operator="equal">
      <formula>"N/A"</formula>
    </cfRule>
    <cfRule type="cellIs" dxfId="287" priority="6" operator="equal">
      <formula>"Decided"</formula>
    </cfRule>
    <cfRule type="cellIs" dxfId="288" priority="7" operator="equal">
      <formula>"Open"</formula>
    </cfRule>
  </conditionalFormatting>
  <conditionalFormatting sqref="A7">
    <cfRule type="containsText" dxfId="289" priority="8">
      <formula>NOT(ISERROR(SEARCH("LOCKED",A7)))</formula>
    </cfRule>
    <cfRule type="containsText" dxfId="290" priority="9">
      <formula>NOT(ISERROR(SEARCH("READY",A7)))</formula>
    </cfRule>
  </conditionalFormatting>
  <conditionalFormatting sqref="G9:G400">
    <cfRule type="cellIs" dxfId="291" priority="10" operator="equal">
      <formula>"Done"</formula>
    </cfRule>
    <cfRule type="cellIs" dxfId="292" priority="11" operator="equal">
      <formula>"Complete"</formula>
    </cfRule>
    <cfRule type="cellIs" dxfId="293" priority="12" operator="equal">
      <formula>"In progress"</formula>
    </cfRule>
    <cfRule type="cellIs" dxfId="294" priority="13" operator="equal">
      <formula>"Blocked"</formula>
    </cfRule>
    <cfRule type="cellIs" dxfId="295" priority="14" operator="equal">
      <formula>"N/A"</formula>
    </cfRule>
    <cfRule type="cellIs" dxfId="296" priority="15" operator="equal">
      <formula>"Decided"</formula>
    </cfRule>
    <cfRule type="cellIs" dxfId="297" priority="16" operator="equal">
      <formula>"Open"</formula>
    </cfRule>
  </conditionalFormatting>
  <dataValidations count="4">
    <dataValidation type="list" allowBlank="1" showErrorMessage="1" errorTitle="Status" error="Choose a value from the list." sqref="G10:G50">
      <formula1>"Not started,In progress,Blocked,Done,N/A"</formula1>
    </dataValidation>
    <dataValidation type="list" allowBlank="1" showErrorMessage="1" errorTitle="Status" error="Choose a value from the list." sqref="G9:G50">
      <formula1>"Not started,In progress,Blocked,Done,N/A"</formula1>
    </dataValidation>
    <dataValidation type="date" operator="greaterThan" allowBlank="1" showErrorMessage="1" errorTitle="Date done" error="Enter a date (yyyy-mm-dd)." sqref="I10:I50">
      <formula1>46023</formula1>
    </dataValidation>
    <dataValidation type="date" operator="greaterThan" allowBlank="1" showErrorMessage="1" errorTitle="Date done" error="Enter a date (yyyy-mm-dd)." sqref="I9:I50">
      <formula1>46023</formula1>
    </dataValidation>
  </dataValidations>
  <hyperlinks>
    <hyperlink ref="J1" r:id="rId1" location="#'Dashboard'!A1"/>
  </hyperlinks>
  <pageSetup paperSize="9" orientation="landscape" fitToWidth="1"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44"/>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1782</v>
      </c>
      <c r="B1" s="27"/>
      <c r="C1" s="27"/>
      <c r="D1" s="27"/>
      <c r="E1" s="27"/>
      <c r="F1" s="27"/>
      <c r="G1" s="27"/>
      <c r="H1" s="27"/>
      <c r="I1" s="27"/>
      <c r="J1" s="28" t="s">
        <v>202</v>
      </c>
    </row>
    <row r="2" ht="17" customHeight="1" spans="1:10" x14ac:dyDescent="0.25">
      <c r="A2" s="29" t="s">
        <v>203</v>
      </c>
      <c r="B2" s="6" t="s">
        <v>1783</v>
      </c>
      <c r="C2" s="6"/>
      <c r="D2" s="6"/>
      <c r="E2" s="6"/>
      <c r="F2" s="6"/>
      <c r="G2" s="6"/>
      <c r="H2" s="6"/>
      <c r="I2" s="6"/>
      <c r="J2" s="6"/>
    </row>
    <row r="3" ht="17" customHeight="1" spans="1:10" x14ac:dyDescent="0.25">
      <c r="A3" s="29" t="s">
        <v>205</v>
      </c>
      <c r="B3" s="6" t="s">
        <v>1784</v>
      </c>
      <c r="C3" s="6"/>
      <c r="D3" s="6"/>
      <c r="E3" s="6"/>
      <c r="F3" s="6"/>
      <c r="G3" s="6"/>
      <c r="H3" s="6"/>
      <c r="I3" s="6"/>
      <c r="J3" s="6"/>
    </row>
    <row r="4" ht="17" customHeight="1" spans="1:10" x14ac:dyDescent="0.25">
      <c r="A4" s="29" t="s">
        <v>207</v>
      </c>
      <c r="B4" s="6" t="s">
        <v>1785</v>
      </c>
      <c r="C4" s="6"/>
      <c r="D4" s="6"/>
      <c r="E4" s="6"/>
      <c r="F4" s="6"/>
      <c r="G4" s="6"/>
      <c r="H4" s="6"/>
      <c r="I4" s="6"/>
      <c r="J4" s="6"/>
    </row>
    <row r="5" ht="17" customHeight="1" spans="1:10" x14ac:dyDescent="0.25">
      <c r="A5" s="29" t="s">
        <v>98</v>
      </c>
      <c r="B5" s="2" t="s">
        <v>194</v>
      </c>
      <c r="C5" s="2"/>
      <c r="D5" s="2"/>
      <c r="E5" s="2"/>
      <c r="F5" s="2"/>
      <c r="G5" s="2"/>
      <c r="H5" s="2"/>
      <c r="I5" s="2"/>
      <c r="J5" s="2"/>
    </row>
    <row r="6" spans="1:10" x14ac:dyDescent="0.25">
      <c r="A6" s="17" t="s">
        <v>92</v>
      </c>
      <c r="B6" s="30">
        <f>IF(D6=0,0,F6/D6)</f>
        <v>0</v>
      </c>
      <c r="C6" s="17" t="s">
        <v>91</v>
      </c>
      <c r="D6" s="31">
        <f>COUNTA(C9:C400)</f>
        <v>21</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IF('M18 Integration'!$B$6=1,"READY: M18 is complete. Work the steps in order, 0 Gate in to 8 Gate out.","LOCKED: finish M18 Integration first. Do not start work on this sheet.")</f>
        <v>LOCKED: finish M18 Integration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34" customHeight="1" spans="1:10" x14ac:dyDescent="0.25">
      <c r="A9" s="33" t="s">
        <v>1786</v>
      </c>
      <c r="B9" s="34" t="s">
        <v>31</v>
      </c>
      <c r="C9" s="35" t="s">
        <v>1787</v>
      </c>
      <c r="D9" s="36" t="s">
        <v>1788</v>
      </c>
      <c r="E9" s="34" t="s">
        <v>290</v>
      </c>
      <c r="F9" s="37" t="s">
        <v>304</v>
      </c>
      <c r="G9" s="38" t="s">
        <v>20</v>
      </c>
      <c r="H9" s="38" t="s">
        <v>1</v>
      </c>
      <c r="I9" s="39"/>
      <c r="J9" s="40" t="s">
        <v>1</v>
      </c>
    </row>
    <row r="10" ht="34" customHeight="1" spans="1:10" x14ac:dyDescent="0.25">
      <c r="A10" s="33" t="s">
        <v>1789</v>
      </c>
      <c r="B10" s="34" t="s">
        <v>31</v>
      </c>
      <c r="C10" s="35" t="s">
        <v>441</v>
      </c>
      <c r="D10" s="36" t="s">
        <v>1790</v>
      </c>
      <c r="E10" s="34" t="s">
        <v>443</v>
      </c>
      <c r="F10" s="37" t="s">
        <v>444</v>
      </c>
      <c r="G10" s="38" t="s">
        <v>20</v>
      </c>
      <c r="H10" s="38" t="s">
        <v>1</v>
      </c>
      <c r="I10" s="39"/>
      <c r="J10" s="40" t="s">
        <v>1</v>
      </c>
    </row>
    <row r="11" ht="48" customHeight="1" spans="1:10" x14ac:dyDescent="0.25">
      <c r="A11" s="41" t="s">
        <v>1791</v>
      </c>
      <c r="B11" s="20" t="s">
        <v>33</v>
      </c>
      <c r="C11" s="42" t="s">
        <v>448</v>
      </c>
      <c r="D11" s="24" t="s">
        <v>1792</v>
      </c>
      <c r="E11" s="20" t="s">
        <v>295</v>
      </c>
      <c r="F11" s="43" t="s">
        <v>1793</v>
      </c>
      <c r="G11" s="38" t="s">
        <v>20</v>
      </c>
      <c r="H11" s="38" t="s">
        <v>1</v>
      </c>
      <c r="I11" s="39"/>
      <c r="J11" s="40" t="s">
        <v>1</v>
      </c>
    </row>
    <row r="12" ht="48" customHeight="1" spans="1:10" x14ac:dyDescent="0.25">
      <c r="A12" s="41" t="s">
        <v>1794</v>
      </c>
      <c r="B12" s="20" t="s">
        <v>33</v>
      </c>
      <c r="C12" s="42" t="s">
        <v>456</v>
      </c>
      <c r="D12" s="24" t="s">
        <v>457</v>
      </c>
      <c r="E12" s="20" t="s">
        <v>295</v>
      </c>
      <c r="F12" s="43" t="s">
        <v>458</v>
      </c>
      <c r="G12" s="38" t="s">
        <v>20</v>
      </c>
      <c r="H12" s="38" t="s">
        <v>1</v>
      </c>
      <c r="I12" s="39"/>
      <c r="J12" s="40" t="s">
        <v>1</v>
      </c>
    </row>
    <row r="13" ht="34" customHeight="1" spans="1:10" x14ac:dyDescent="0.25">
      <c r="A13" s="41" t="s">
        <v>1795</v>
      </c>
      <c r="B13" s="20" t="s">
        <v>33</v>
      </c>
      <c r="C13" s="42" t="s">
        <v>460</v>
      </c>
      <c r="D13" s="24" t="s">
        <v>1796</v>
      </c>
      <c r="E13" s="20" t="s">
        <v>295</v>
      </c>
      <c r="F13" s="43" t="s">
        <v>462</v>
      </c>
      <c r="G13" s="38" t="s">
        <v>20</v>
      </c>
      <c r="H13" s="38" t="s">
        <v>1</v>
      </c>
      <c r="I13" s="39"/>
      <c r="J13" s="40" t="s">
        <v>1</v>
      </c>
    </row>
    <row r="14" ht="34" customHeight="1" spans="1:10" x14ac:dyDescent="0.25">
      <c r="A14" s="41" t="s">
        <v>1797</v>
      </c>
      <c r="B14" s="20" t="s">
        <v>35</v>
      </c>
      <c r="C14" s="42" t="s">
        <v>1798</v>
      </c>
      <c r="D14" s="24" t="s">
        <v>1799</v>
      </c>
      <c r="E14" s="20" t="s">
        <v>295</v>
      </c>
      <c r="F14" s="43" t="s">
        <v>1800</v>
      </c>
      <c r="G14" s="38" t="s">
        <v>20</v>
      </c>
      <c r="H14" s="38" t="s">
        <v>1</v>
      </c>
      <c r="I14" s="39"/>
      <c r="J14" s="40" t="s">
        <v>1</v>
      </c>
    </row>
    <row r="15" ht="20" customHeight="1" spans="1:10" x14ac:dyDescent="0.25">
      <c r="A15" s="41" t="s">
        <v>1801</v>
      </c>
      <c r="B15" s="20" t="s">
        <v>35</v>
      </c>
      <c r="C15" s="42" t="s">
        <v>1802</v>
      </c>
      <c r="D15" s="24" t="s">
        <v>1803</v>
      </c>
      <c r="E15" s="20" t="s">
        <v>295</v>
      </c>
      <c r="F15" s="43" t="s">
        <v>1804</v>
      </c>
      <c r="G15" s="38" t="s">
        <v>20</v>
      </c>
      <c r="H15" s="38" t="s">
        <v>1</v>
      </c>
      <c r="I15" s="39"/>
      <c r="J15" s="40" t="s">
        <v>1</v>
      </c>
    </row>
    <row r="16" ht="34" customHeight="1" spans="1:10" x14ac:dyDescent="0.25">
      <c r="A16" s="41" t="s">
        <v>1805</v>
      </c>
      <c r="B16" s="20" t="s">
        <v>35</v>
      </c>
      <c r="C16" s="42" t="s">
        <v>1806</v>
      </c>
      <c r="D16" s="24" t="s">
        <v>1807</v>
      </c>
      <c r="E16" s="20" t="s">
        <v>295</v>
      </c>
      <c r="F16" s="43" t="s">
        <v>1808</v>
      </c>
      <c r="G16" s="38" t="s">
        <v>20</v>
      </c>
      <c r="H16" s="38" t="s">
        <v>1</v>
      </c>
      <c r="I16" s="39"/>
      <c r="J16" s="40" t="s">
        <v>1</v>
      </c>
    </row>
    <row r="17" ht="34" customHeight="1" spans="1:10" x14ac:dyDescent="0.25">
      <c r="A17" s="41" t="s">
        <v>1809</v>
      </c>
      <c r="B17" s="20" t="s">
        <v>35</v>
      </c>
      <c r="C17" s="42" t="s">
        <v>1810</v>
      </c>
      <c r="D17" s="24" t="s">
        <v>1811</v>
      </c>
      <c r="E17" s="20" t="s">
        <v>1215</v>
      </c>
      <c r="F17" s="43" t="s">
        <v>1812</v>
      </c>
      <c r="G17" s="38" t="s">
        <v>20</v>
      </c>
      <c r="H17" s="38" t="s">
        <v>1</v>
      </c>
      <c r="I17" s="39"/>
      <c r="J17" s="40" t="s">
        <v>1</v>
      </c>
    </row>
    <row r="18" ht="20" customHeight="1" spans="1:10" x14ac:dyDescent="0.25">
      <c r="A18" s="41" t="s">
        <v>1813</v>
      </c>
      <c r="B18" s="20" t="s">
        <v>41</v>
      </c>
      <c r="C18" s="42" t="s">
        <v>1814</v>
      </c>
      <c r="D18" s="24" t="s">
        <v>1815</v>
      </c>
      <c r="E18" s="20" t="s">
        <v>264</v>
      </c>
      <c r="F18" s="43" t="s">
        <v>1816</v>
      </c>
      <c r="G18" s="38" t="s">
        <v>20</v>
      </c>
      <c r="H18" s="38" t="s">
        <v>1</v>
      </c>
      <c r="I18" s="39"/>
      <c r="J18" s="40" t="s">
        <v>1</v>
      </c>
    </row>
    <row r="19" ht="34" customHeight="1" spans="1:10" x14ac:dyDescent="0.25">
      <c r="A19" s="41" t="s">
        <v>1817</v>
      </c>
      <c r="B19" s="20" t="s">
        <v>43</v>
      </c>
      <c r="C19" s="42" t="s">
        <v>516</v>
      </c>
      <c r="D19" s="24" t="s">
        <v>517</v>
      </c>
      <c r="E19" s="20" t="s">
        <v>295</v>
      </c>
      <c r="F19" s="43" t="s">
        <v>518</v>
      </c>
      <c r="G19" s="38" t="s">
        <v>20</v>
      </c>
      <c r="H19" s="38" t="s">
        <v>1</v>
      </c>
      <c r="I19" s="39"/>
      <c r="J19" s="40" t="s">
        <v>1</v>
      </c>
    </row>
    <row r="20" ht="34" customHeight="1" spans="1:10" x14ac:dyDescent="0.25">
      <c r="A20" s="41" t="s">
        <v>1818</v>
      </c>
      <c r="B20" s="20" t="s">
        <v>43</v>
      </c>
      <c r="C20" s="42" t="s">
        <v>520</v>
      </c>
      <c r="D20" s="24" t="s">
        <v>521</v>
      </c>
      <c r="E20" s="20" t="s">
        <v>392</v>
      </c>
      <c r="F20" s="43" t="s">
        <v>522</v>
      </c>
      <c r="G20" s="38" t="s">
        <v>20</v>
      </c>
      <c r="H20" s="38" t="s">
        <v>1</v>
      </c>
      <c r="I20" s="39"/>
      <c r="J20" s="40" t="s">
        <v>1</v>
      </c>
    </row>
    <row r="21" ht="34" customHeight="1" spans="1:10" x14ac:dyDescent="0.25">
      <c r="A21" s="41" t="s">
        <v>1819</v>
      </c>
      <c r="B21" s="20" t="s">
        <v>43</v>
      </c>
      <c r="C21" s="42" t="s">
        <v>524</v>
      </c>
      <c r="D21" s="24" t="s">
        <v>525</v>
      </c>
      <c r="E21" s="20" t="s">
        <v>392</v>
      </c>
      <c r="F21" s="43" t="s">
        <v>526</v>
      </c>
      <c r="G21" s="38" t="s">
        <v>20</v>
      </c>
      <c r="H21" s="38" t="s">
        <v>1</v>
      </c>
      <c r="I21" s="39"/>
      <c r="J21" s="40" t="s">
        <v>1</v>
      </c>
    </row>
    <row r="22" ht="34" customHeight="1" spans="1:10" x14ac:dyDescent="0.25">
      <c r="A22" s="41" t="s">
        <v>1820</v>
      </c>
      <c r="B22" s="20" t="s">
        <v>43</v>
      </c>
      <c r="C22" s="42" t="s">
        <v>1821</v>
      </c>
      <c r="D22" s="24" t="s">
        <v>1822</v>
      </c>
      <c r="E22" s="20" t="s">
        <v>392</v>
      </c>
      <c r="F22" s="43" t="s">
        <v>1823</v>
      </c>
      <c r="G22" s="38" t="s">
        <v>20</v>
      </c>
      <c r="H22" s="38" t="s">
        <v>1</v>
      </c>
      <c r="I22" s="39"/>
      <c r="J22" s="40" t="s">
        <v>1</v>
      </c>
    </row>
    <row r="23" ht="48" customHeight="1" spans="1:10" x14ac:dyDescent="0.25">
      <c r="A23" s="41" t="s">
        <v>1824</v>
      </c>
      <c r="B23" s="20" t="s">
        <v>45</v>
      </c>
      <c r="C23" s="42" t="s">
        <v>536</v>
      </c>
      <c r="D23" s="24" t="s">
        <v>537</v>
      </c>
      <c r="E23" s="20" t="s">
        <v>295</v>
      </c>
      <c r="F23" s="43" t="s">
        <v>538</v>
      </c>
      <c r="G23" s="38" t="s">
        <v>20</v>
      </c>
      <c r="H23" s="38" t="s">
        <v>1</v>
      </c>
      <c r="I23" s="39"/>
      <c r="J23" s="40" t="s">
        <v>1</v>
      </c>
    </row>
    <row r="24" ht="34" customHeight="1" spans="1:10" x14ac:dyDescent="0.25">
      <c r="A24" s="41" t="s">
        <v>1825</v>
      </c>
      <c r="B24" s="20" t="s">
        <v>45</v>
      </c>
      <c r="C24" s="42" t="s">
        <v>540</v>
      </c>
      <c r="D24" s="24" t="s">
        <v>1826</v>
      </c>
      <c r="E24" s="20" t="s">
        <v>295</v>
      </c>
      <c r="F24" s="43" t="s">
        <v>542</v>
      </c>
      <c r="G24" s="38" t="s">
        <v>20</v>
      </c>
      <c r="H24" s="38" t="s">
        <v>1</v>
      </c>
      <c r="I24" s="39"/>
      <c r="J24" s="40" t="s">
        <v>1</v>
      </c>
    </row>
    <row r="25" ht="34" customHeight="1" spans="1:10" x14ac:dyDescent="0.25">
      <c r="A25" s="41" t="s">
        <v>1827</v>
      </c>
      <c r="B25" s="20" t="s">
        <v>45</v>
      </c>
      <c r="C25" s="42" t="s">
        <v>544</v>
      </c>
      <c r="D25" s="24" t="s">
        <v>545</v>
      </c>
      <c r="E25" s="20" t="s">
        <v>295</v>
      </c>
      <c r="F25" s="43" t="s">
        <v>546</v>
      </c>
      <c r="G25" s="38" t="s">
        <v>20</v>
      </c>
      <c r="H25" s="38" t="s">
        <v>1</v>
      </c>
      <c r="I25" s="39"/>
      <c r="J25" s="40" t="s">
        <v>1</v>
      </c>
    </row>
    <row r="26" ht="34" customHeight="1" spans="1:10" x14ac:dyDescent="0.25">
      <c r="A26" s="41" t="s">
        <v>1828</v>
      </c>
      <c r="B26" s="20" t="s">
        <v>45</v>
      </c>
      <c r="C26" s="42" t="s">
        <v>548</v>
      </c>
      <c r="D26" s="24" t="s">
        <v>1829</v>
      </c>
      <c r="E26" s="20" t="s">
        <v>550</v>
      </c>
      <c r="F26" s="43" t="s">
        <v>551</v>
      </c>
      <c r="G26" s="38" t="s">
        <v>20</v>
      </c>
      <c r="H26" s="38" t="s">
        <v>1</v>
      </c>
      <c r="I26" s="39"/>
      <c r="J26" s="40" t="s">
        <v>1</v>
      </c>
    </row>
    <row r="27" ht="34" customHeight="1" spans="1:10" x14ac:dyDescent="0.25">
      <c r="A27" s="33" t="s">
        <v>1830</v>
      </c>
      <c r="B27" s="34" t="s">
        <v>47</v>
      </c>
      <c r="C27" s="35" t="s">
        <v>289</v>
      </c>
      <c r="D27" s="36" t="s">
        <v>1831</v>
      </c>
      <c r="E27" s="34" t="s">
        <v>290</v>
      </c>
      <c r="F27" s="37" t="s">
        <v>291</v>
      </c>
      <c r="G27" s="38" t="s">
        <v>20</v>
      </c>
      <c r="H27" s="38" t="s">
        <v>1</v>
      </c>
      <c r="I27" s="39"/>
      <c r="J27" s="40" t="s">
        <v>1</v>
      </c>
    </row>
    <row r="28" ht="20" customHeight="1" spans="1:10" x14ac:dyDescent="0.25">
      <c r="A28" s="33" t="s">
        <v>1832</v>
      </c>
      <c r="B28" s="34" t="s">
        <v>47</v>
      </c>
      <c r="C28" s="35" t="s">
        <v>425</v>
      </c>
      <c r="D28" s="36" t="s">
        <v>720</v>
      </c>
      <c r="E28" s="34" t="s">
        <v>290</v>
      </c>
      <c r="F28" s="37" t="s">
        <v>556</v>
      </c>
      <c r="G28" s="38" t="s">
        <v>20</v>
      </c>
      <c r="H28" s="38" t="s">
        <v>1</v>
      </c>
      <c r="I28" s="39"/>
      <c r="J28" s="40" t="s">
        <v>1</v>
      </c>
    </row>
    <row r="29" ht="34" customHeight="1" spans="1:10" x14ac:dyDescent="0.25">
      <c r="A29" s="33" t="s">
        <v>1833</v>
      </c>
      <c r="B29" s="34" t="s">
        <v>47</v>
      </c>
      <c r="C29" s="35" t="s">
        <v>1834</v>
      </c>
      <c r="D29" s="36" t="s">
        <v>1835</v>
      </c>
      <c r="E29" s="34" t="s">
        <v>295</v>
      </c>
      <c r="F29" s="37" t="s">
        <v>560</v>
      </c>
      <c r="G29" s="38" t="s">
        <v>20</v>
      </c>
      <c r="H29" s="38" t="s">
        <v>1</v>
      </c>
      <c r="I29" s="39"/>
      <c r="J29" s="40" t="s">
        <v>1</v>
      </c>
    </row>
    <row r="30" spans="7:10" x14ac:dyDescent="0.25">
      <c r="G30" s="44"/>
      <c r="H30" s="44"/>
      <c r="I30" s="45"/>
      <c r="J30" s="44"/>
    </row>
    <row r="31" spans="7:10" x14ac:dyDescent="0.25">
      <c r="G31" s="44"/>
      <c r="H31" s="44"/>
      <c r="I31" s="45"/>
      <c r="J31" s="44"/>
    </row>
    <row r="32" spans="7:10" x14ac:dyDescent="0.25">
      <c r="G32" s="44"/>
      <c r="H32" s="44"/>
      <c r="I32" s="45"/>
      <c r="J32" s="44"/>
    </row>
    <row r="33" spans="7:10" x14ac:dyDescent="0.25">
      <c r="G33" s="44"/>
      <c r="H33" s="44"/>
      <c r="I33" s="45"/>
      <c r="J33" s="44"/>
    </row>
    <row r="34" spans="7:10" x14ac:dyDescent="0.25">
      <c r="G34" s="44"/>
      <c r="H34" s="44"/>
      <c r="I34" s="45"/>
      <c r="J34" s="44"/>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row r="39" spans="7:10" x14ac:dyDescent="0.25">
      <c r="G39" s="44"/>
      <c r="H39" s="44"/>
      <c r="I39" s="45"/>
      <c r="J39" s="44"/>
    </row>
    <row r="40" spans="7:10" x14ac:dyDescent="0.25">
      <c r="G40" s="44"/>
      <c r="H40" s="44"/>
      <c r="I40" s="45"/>
      <c r="J40" s="44"/>
    </row>
    <row r="41" spans="7:10" x14ac:dyDescent="0.25">
      <c r="G41" s="44"/>
      <c r="H41" s="44"/>
      <c r="I41" s="45"/>
      <c r="J41" s="44"/>
    </row>
    <row r="42" spans="7:10" x14ac:dyDescent="0.25">
      <c r="G42" s="44"/>
      <c r="H42" s="44"/>
      <c r="I42" s="45"/>
      <c r="J42" s="44"/>
    </row>
    <row r="43" spans="7:10" x14ac:dyDescent="0.25">
      <c r="G43" s="44"/>
      <c r="H43" s="44"/>
      <c r="I43" s="45"/>
      <c r="J43" s="44"/>
    </row>
    <row r="44" spans="7:10" x14ac:dyDescent="0.25">
      <c r="G44" s="44"/>
      <c r="H44" s="44"/>
      <c r="I44" s="45"/>
      <c r="J44" s="44"/>
    </row>
  </sheetData>
  <autoFilter ref="A8:J29"/>
  <mergeCells count="6">
    <mergeCell ref="A1:I1"/>
    <mergeCell ref="B2:J2"/>
    <mergeCell ref="B3:J3"/>
    <mergeCell ref="B4:J4"/>
    <mergeCell ref="B5:J5"/>
    <mergeCell ref="A7:J7"/>
  </mergeCells>
  <conditionalFormatting sqref="J6">
    <cfRule type="cellIs" dxfId="298" priority="1" operator="equal">
      <formula>"Done"</formula>
    </cfRule>
    <cfRule type="cellIs" dxfId="299" priority="2" operator="equal">
      <formula>"Complete"</formula>
    </cfRule>
    <cfRule type="cellIs" dxfId="300" priority="3" operator="equal">
      <formula>"In progress"</formula>
    </cfRule>
    <cfRule type="cellIs" dxfId="301" priority="4" operator="equal">
      <formula>"Blocked"</formula>
    </cfRule>
    <cfRule type="cellIs" dxfId="302" priority="5" operator="equal">
      <formula>"N/A"</formula>
    </cfRule>
    <cfRule type="cellIs" dxfId="303" priority="6" operator="equal">
      <formula>"Decided"</formula>
    </cfRule>
    <cfRule type="cellIs" dxfId="304" priority="7" operator="equal">
      <formula>"Open"</formula>
    </cfRule>
  </conditionalFormatting>
  <conditionalFormatting sqref="A7">
    <cfRule type="containsText" dxfId="305" priority="8">
      <formula>NOT(ISERROR(SEARCH("LOCKED",A7)))</formula>
    </cfRule>
    <cfRule type="containsText" dxfId="306" priority="9">
      <formula>NOT(ISERROR(SEARCH("READY",A7)))</formula>
    </cfRule>
  </conditionalFormatting>
  <conditionalFormatting sqref="G9:G400">
    <cfRule type="cellIs" dxfId="307" priority="10" operator="equal">
      <formula>"Done"</formula>
    </cfRule>
    <cfRule type="cellIs" dxfId="308" priority="11" operator="equal">
      <formula>"Complete"</formula>
    </cfRule>
    <cfRule type="cellIs" dxfId="309" priority="12" operator="equal">
      <formula>"In progress"</formula>
    </cfRule>
    <cfRule type="cellIs" dxfId="310" priority="13" operator="equal">
      <formula>"Blocked"</formula>
    </cfRule>
    <cfRule type="cellIs" dxfId="311" priority="14" operator="equal">
      <formula>"N/A"</formula>
    </cfRule>
    <cfRule type="cellIs" dxfId="312" priority="15" operator="equal">
      <formula>"Decided"</formula>
    </cfRule>
    <cfRule type="cellIs" dxfId="313" priority="16" operator="equal">
      <formula>"Open"</formula>
    </cfRule>
  </conditionalFormatting>
  <dataValidations count="4">
    <dataValidation type="list" allowBlank="1" showErrorMessage="1" errorTitle="Status" error="Choose a value from the list." sqref="G10:G44">
      <formula1>"Not started,In progress,Blocked,Done,N/A"</formula1>
    </dataValidation>
    <dataValidation type="list" allowBlank="1" showErrorMessage="1" errorTitle="Status" error="Choose a value from the list." sqref="G9:G44">
      <formula1>"Not started,In progress,Blocked,Done,N/A"</formula1>
    </dataValidation>
    <dataValidation type="date" operator="greaterThan" allowBlank="1" showErrorMessage="1" errorTitle="Date done" error="Enter a date (yyyy-mm-dd)." sqref="I10:I44">
      <formula1>46023</formula1>
    </dataValidation>
    <dataValidation type="date" operator="greaterThan" allowBlank="1" showErrorMessage="1" errorTitle="Date done" error="Enter a date (yyyy-mm-dd)." sqref="I9:I44">
      <formula1>46023</formula1>
    </dataValidation>
  </dataValidations>
  <hyperlinks>
    <hyperlink ref="J1" r:id="rId1" location="#'Dashboard'!A1"/>
  </hyperlinks>
  <pageSetup paperSize="9" orientation="landscape" fitToWidth="1"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A97A3"/>
    <pageSetUpPr fitToPage="1"/>
  </sheetPr>
  <dimension ref="A1:J38"/>
  <sheetViews>
    <sheetView workbookViewId="0">
      <pane ySplit="8" topLeftCell="A9" activePane="bottomLeft" state="frozen"/>
      <selection pane="bottomLeft"/>
    </sheetView>
  </sheetViews>
  <sheetFormatPr defaultRowHeight="15" outlineLevelRow="0" outlineLevelCol="0" x14ac:dyDescent="55"/>
  <cols>
    <col min="2" max="2" width="11" customWidth="1"/>
    <col min="3" max="3" width="36" customWidth="1"/>
    <col min="4" max="4" width="66" customWidth="1"/>
    <col min="5" max="5" width="10" customWidth="1"/>
    <col min="6" max="6" width="22" customWidth="1"/>
    <col min="7" max="8" width="13" customWidth="1"/>
    <col min="9" max="9" width="12" customWidth="1"/>
    <col min="10" max="10" width="34" customWidth="1"/>
  </cols>
  <sheetData>
    <row r="1" ht="26" customHeight="1" spans="1:10" x14ac:dyDescent="0.25">
      <c r="A1" s="27" t="s">
        <v>1836</v>
      </c>
      <c r="B1" s="27"/>
      <c r="C1" s="27"/>
      <c r="D1" s="27"/>
      <c r="E1" s="27"/>
      <c r="F1" s="27"/>
      <c r="G1" s="27"/>
      <c r="H1" s="27"/>
      <c r="I1" s="27"/>
      <c r="J1" s="28" t="s">
        <v>202</v>
      </c>
    </row>
    <row r="2" ht="17" customHeight="1" spans="1:10" x14ac:dyDescent="0.25">
      <c r="A2" s="29" t="s">
        <v>203</v>
      </c>
      <c r="B2" s="6" t="s">
        <v>1837</v>
      </c>
      <c r="C2" s="6"/>
      <c r="D2" s="6"/>
      <c r="E2" s="6"/>
      <c r="F2" s="6"/>
      <c r="G2" s="6"/>
      <c r="H2" s="6"/>
      <c r="I2" s="6"/>
      <c r="J2" s="6"/>
    </row>
    <row r="3" ht="17" customHeight="1" spans="1:10" x14ac:dyDescent="0.25">
      <c r="A3" s="29" t="s">
        <v>205</v>
      </c>
      <c r="B3" s="6" t="s">
        <v>1838</v>
      </c>
      <c r="C3" s="6"/>
      <c r="D3" s="6"/>
      <c r="E3" s="6"/>
      <c r="F3" s="6"/>
      <c r="G3" s="6"/>
      <c r="H3" s="6"/>
      <c r="I3" s="6"/>
      <c r="J3" s="6"/>
    </row>
    <row r="4" ht="17" customHeight="1" spans="1:10" x14ac:dyDescent="0.25">
      <c r="A4" s="29" t="s">
        <v>207</v>
      </c>
      <c r="B4" s="6" t="s">
        <v>1839</v>
      </c>
      <c r="C4" s="6"/>
      <c r="D4" s="6"/>
      <c r="E4" s="6"/>
      <c r="F4" s="6"/>
      <c r="G4" s="6"/>
      <c r="H4" s="6"/>
      <c r="I4" s="6"/>
      <c r="J4" s="6"/>
    </row>
    <row r="5" ht="17" customHeight="1" spans="1:10" x14ac:dyDescent="0.25">
      <c r="A5" s="29" t="s">
        <v>98</v>
      </c>
      <c r="B5" s="2" t="s">
        <v>199</v>
      </c>
      <c r="C5" s="2"/>
      <c r="D5" s="2"/>
      <c r="E5" s="2"/>
      <c r="F5" s="2"/>
      <c r="G5" s="2"/>
      <c r="H5" s="2"/>
      <c r="I5" s="2"/>
      <c r="J5" s="2"/>
    </row>
    <row r="6" spans="1:10" x14ac:dyDescent="0.25">
      <c r="A6" s="17" t="s">
        <v>92</v>
      </c>
      <c r="B6" s="30">
        <f>IF(D6=0,0,F6/D6)</f>
        <v>0</v>
      </c>
      <c r="C6" s="17" t="s">
        <v>91</v>
      </c>
      <c r="D6" s="31">
        <f>COUNTA(C9:C400)</f>
        <v>15</v>
      </c>
      <c r="E6" s="17" t="s">
        <v>209</v>
      </c>
      <c r="F6" s="31">
        <f>COUNTIF(G9:G400,"Done")+COUNTIF(G9:G400,"N/A")</f>
        <v>0</v>
      </c>
      <c r="G6" s="17" t="s">
        <v>24</v>
      </c>
      <c r="H6" s="31">
        <f>COUNTIF(G9:G400,"Blocked")</f>
        <v>0</v>
      </c>
      <c r="I6" s="17" t="s">
        <v>93</v>
      </c>
      <c r="J6" s="31" t="str">
        <f>IF(B6=1,"Complete",IF(H6&gt;0,"Blocked",IF(F6+COUNTIF(G9:G400,"In progress")=0,"Not started","In progress")))</f>
        <v>Not started</v>
      </c>
    </row>
    <row r="7" ht="20" customHeight="1" spans="1:10" x14ac:dyDescent="0.25">
      <c r="A7" s="32" t="str">
        <f>IF('M19 AI'!$B$6=1,"READY: M19 is complete. Work the steps in order, 0 Gate in to 8 Gate out.","LOCKED: finish M19 AI first. Do not start work on this sheet.")</f>
        <v>LOCKED: finish M19 AI first. Do not start work on this sheet.</v>
      </c>
      <c r="B7" s="32"/>
      <c r="C7" s="32"/>
      <c r="D7" s="32"/>
      <c r="E7" s="32"/>
      <c r="F7" s="32"/>
      <c r="G7" s="32"/>
      <c r="H7" s="32"/>
      <c r="I7" s="32"/>
      <c r="J7" s="32"/>
    </row>
    <row r="8" ht="20" customHeight="1" spans="1:10" x14ac:dyDescent="0.25">
      <c r="A8" s="19" t="s">
        <v>211</v>
      </c>
      <c r="B8" s="19" t="s">
        <v>212</v>
      </c>
      <c r="C8" s="19" t="s">
        <v>213</v>
      </c>
      <c r="D8" s="19" t="s">
        <v>214</v>
      </c>
      <c r="E8" s="19" t="s">
        <v>215</v>
      </c>
      <c r="F8" s="19" t="s">
        <v>216</v>
      </c>
      <c r="G8" s="19" t="s">
        <v>217</v>
      </c>
      <c r="H8" s="19" t="s">
        <v>218</v>
      </c>
      <c r="I8" s="19" t="s">
        <v>219</v>
      </c>
      <c r="J8" s="19" t="s">
        <v>220</v>
      </c>
    </row>
    <row r="9" ht="20" customHeight="1" spans="1:10" x14ac:dyDescent="0.25">
      <c r="A9" s="33" t="s">
        <v>1840</v>
      </c>
      <c r="B9" s="34" t="s">
        <v>31</v>
      </c>
      <c r="C9" s="35" t="s">
        <v>1841</v>
      </c>
      <c r="D9" s="36" t="s">
        <v>1842</v>
      </c>
      <c r="E9" s="34" t="s">
        <v>290</v>
      </c>
      <c r="F9" s="37" t="s">
        <v>304</v>
      </c>
      <c r="G9" s="38" t="s">
        <v>20</v>
      </c>
      <c r="H9" s="38" t="s">
        <v>1</v>
      </c>
      <c r="I9" s="39"/>
      <c r="J9" s="40" t="s">
        <v>1</v>
      </c>
    </row>
    <row r="10" ht="34" customHeight="1" spans="1:10" x14ac:dyDescent="0.25">
      <c r="A10" s="33" t="s">
        <v>1843</v>
      </c>
      <c r="B10" s="34" t="s">
        <v>31</v>
      </c>
      <c r="C10" s="35" t="s">
        <v>1844</v>
      </c>
      <c r="D10" s="36" t="s">
        <v>1845</v>
      </c>
      <c r="E10" s="34" t="s">
        <v>1846</v>
      </c>
      <c r="F10" s="37" t="s">
        <v>1847</v>
      </c>
      <c r="G10" s="38" t="s">
        <v>20</v>
      </c>
      <c r="H10" s="38" t="s">
        <v>1</v>
      </c>
      <c r="I10" s="39"/>
      <c r="J10" s="40" t="s">
        <v>1</v>
      </c>
    </row>
    <row r="11" ht="20" customHeight="1" spans="1:10" x14ac:dyDescent="0.25">
      <c r="A11" s="41" t="s">
        <v>1848</v>
      </c>
      <c r="B11" s="20" t="s">
        <v>41</v>
      </c>
      <c r="C11" s="42" t="s">
        <v>1849</v>
      </c>
      <c r="D11" s="24" t="s">
        <v>1850</v>
      </c>
      <c r="E11" s="20" t="s">
        <v>1851</v>
      </c>
      <c r="F11" s="43" t="s">
        <v>1852</v>
      </c>
      <c r="G11" s="38" t="s">
        <v>20</v>
      </c>
      <c r="H11" s="38" t="s">
        <v>1</v>
      </c>
      <c r="I11" s="39"/>
      <c r="J11" s="40" t="s">
        <v>1</v>
      </c>
    </row>
    <row r="12" ht="34" customHeight="1" spans="1:10" x14ac:dyDescent="0.25">
      <c r="A12" s="41" t="s">
        <v>1853</v>
      </c>
      <c r="B12" s="20" t="s">
        <v>41</v>
      </c>
      <c r="C12" s="42" t="s">
        <v>1854</v>
      </c>
      <c r="D12" s="24" t="s">
        <v>1855</v>
      </c>
      <c r="E12" s="20" t="s">
        <v>1851</v>
      </c>
      <c r="F12" s="43" t="s">
        <v>1856</v>
      </c>
      <c r="G12" s="38" t="s">
        <v>20</v>
      </c>
      <c r="H12" s="38" t="s">
        <v>1</v>
      </c>
      <c r="I12" s="39"/>
      <c r="J12" s="40" t="s">
        <v>1</v>
      </c>
    </row>
    <row r="13" ht="48" customHeight="1" spans="1:10" x14ac:dyDescent="0.25">
      <c r="A13" s="41" t="s">
        <v>1857</v>
      </c>
      <c r="B13" s="20" t="s">
        <v>43</v>
      </c>
      <c r="C13" s="42" t="s">
        <v>1858</v>
      </c>
      <c r="D13" s="24" t="s">
        <v>1859</v>
      </c>
      <c r="E13" s="20" t="s">
        <v>1860</v>
      </c>
      <c r="F13" s="43" t="s">
        <v>393</v>
      </c>
      <c r="G13" s="38" t="s">
        <v>20</v>
      </c>
      <c r="H13" s="38" t="s">
        <v>1</v>
      </c>
      <c r="I13" s="39"/>
      <c r="J13" s="40" t="s">
        <v>1</v>
      </c>
    </row>
    <row r="14" ht="20" customHeight="1" spans="1:10" x14ac:dyDescent="0.25">
      <c r="A14" s="41" t="s">
        <v>1861</v>
      </c>
      <c r="B14" s="20" t="s">
        <v>43</v>
      </c>
      <c r="C14" s="42" t="s">
        <v>1862</v>
      </c>
      <c r="D14" s="24" t="s">
        <v>1863</v>
      </c>
      <c r="E14" s="20" t="s">
        <v>530</v>
      </c>
      <c r="F14" s="43" t="s">
        <v>1864</v>
      </c>
      <c r="G14" s="38" t="s">
        <v>20</v>
      </c>
      <c r="H14" s="38" t="s">
        <v>1</v>
      </c>
      <c r="I14" s="39"/>
      <c r="J14" s="40" t="s">
        <v>1</v>
      </c>
    </row>
    <row r="15" ht="34" customHeight="1" spans="1:10" x14ac:dyDescent="0.25">
      <c r="A15" s="41" t="s">
        <v>1865</v>
      </c>
      <c r="B15" s="20" t="s">
        <v>43</v>
      </c>
      <c r="C15" s="42" t="s">
        <v>395</v>
      </c>
      <c r="D15" s="24" t="s">
        <v>1866</v>
      </c>
      <c r="E15" s="20" t="s">
        <v>1867</v>
      </c>
      <c r="F15" s="43" t="s">
        <v>1868</v>
      </c>
      <c r="G15" s="38" t="s">
        <v>20</v>
      </c>
      <c r="H15" s="38" t="s">
        <v>1</v>
      </c>
      <c r="I15" s="39"/>
      <c r="J15" s="40" t="s">
        <v>1</v>
      </c>
    </row>
    <row r="16" ht="34" customHeight="1" spans="1:10" x14ac:dyDescent="0.25">
      <c r="A16" s="41" t="s">
        <v>1869</v>
      </c>
      <c r="B16" s="20" t="s">
        <v>43</v>
      </c>
      <c r="C16" s="42" t="s">
        <v>1870</v>
      </c>
      <c r="D16" s="24" t="s">
        <v>1871</v>
      </c>
      <c r="E16" s="20" t="s">
        <v>1872</v>
      </c>
      <c r="F16" s="43" t="s">
        <v>1873</v>
      </c>
      <c r="G16" s="38" t="s">
        <v>20</v>
      </c>
      <c r="H16" s="38" t="s">
        <v>1</v>
      </c>
      <c r="I16" s="39"/>
      <c r="J16" s="40" t="s">
        <v>1</v>
      </c>
    </row>
    <row r="17" ht="20" customHeight="1" spans="1:10" x14ac:dyDescent="0.25">
      <c r="A17" s="41" t="s">
        <v>1874</v>
      </c>
      <c r="B17" s="20" t="s">
        <v>43</v>
      </c>
      <c r="C17" s="42" t="s">
        <v>1875</v>
      </c>
      <c r="D17" s="24" t="s">
        <v>1876</v>
      </c>
      <c r="E17" s="20" t="s">
        <v>1877</v>
      </c>
      <c r="F17" s="43" t="s">
        <v>401</v>
      </c>
      <c r="G17" s="38" t="s">
        <v>20</v>
      </c>
      <c r="H17" s="38" t="s">
        <v>1</v>
      </c>
      <c r="I17" s="39"/>
      <c r="J17" s="40" t="s">
        <v>1</v>
      </c>
    </row>
    <row r="18" ht="34" customHeight="1" spans="1:10" x14ac:dyDescent="0.25">
      <c r="A18" s="41" t="s">
        <v>1878</v>
      </c>
      <c r="B18" s="20" t="s">
        <v>43</v>
      </c>
      <c r="C18" s="42" t="s">
        <v>1879</v>
      </c>
      <c r="D18" s="24" t="s">
        <v>1880</v>
      </c>
      <c r="E18" s="20" t="s">
        <v>1881</v>
      </c>
      <c r="F18" s="43" t="s">
        <v>1882</v>
      </c>
      <c r="G18" s="38" t="s">
        <v>20</v>
      </c>
      <c r="H18" s="38" t="s">
        <v>1</v>
      </c>
      <c r="I18" s="39"/>
      <c r="J18" s="40" t="s">
        <v>1</v>
      </c>
    </row>
    <row r="19" ht="48" customHeight="1" spans="1:10" x14ac:dyDescent="0.25">
      <c r="A19" s="41" t="s">
        <v>1883</v>
      </c>
      <c r="B19" s="20" t="s">
        <v>45</v>
      </c>
      <c r="C19" s="42" t="s">
        <v>1884</v>
      </c>
      <c r="D19" s="24" t="s">
        <v>1885</v>
      </c>
      <c r="E19" s="20" t="s">
        <v>1886</v>
      </c>
      <c r="F19" s="43" t="s">
        <v>1887</v>
      </c>
      <c r="G19" s="38" t="s">
        <v>20</v>
      </c>
      <c r="H19" s="38" t="s">
        <v>1</v>
      </c>
      <c r="I19" s="39"/>
      <c r="J19" s="40" t="s">
        <v>1</v>
      </c>
    </row>
    <row r="20" ht="34" customHeight="1" spans="1:10" x14ac:dyDescent="0.25">
      <c r="A20" s="41" t="s">
        <v>1888</v>
      </c>
      <c r="B20" s="20" t="s">
        <v>45</v>
      </c>
      <c r="C20" s="42" t="s">
        <v>1889</v>
      </c>
      <c r="D20" s="24" t="s">
        <v>1890</v>
      </c>
      <c r="E20" s="20" t="s">
        <v>1891</v>
      </c>
      <c r="F20" s="43" t="s">
        <v>428</v>
      </c>
      <c r="G20" s="38" t="s">
        <v>20</v>
      </c>
      <c r="H20" s="38" t="s">
        <v>1</v>
      </c>
      <c r="I20" s="39"/>
      <c r="J20" s="40" t="s">
        <v>1</v>
      </c>
    </row>
    <row r="21" ht="20" customHeight="1" spans="1:10" x14ac:dyDescent="0.25">
      <c r="A21" s="41" t="s">
        <v>1892</v>
      </c>
      <c r="B21" s="20" t="s">
        <v>45</v>
      </c>
      <c r="C21" s="42" t="s">
        <v>1893</v>
      </c>
      <c r="D21" s="24" t="s">
        <v>1894</v>
      </c>
      <c r="E21" s="20" t="s">
        <v>308</v>
      </c>
      <c r="F21" s="43" t="s">
        <v>1895</v>
      </c>
      <c r="G21" s="38" t="s">
        <v>20</v>
      </c>
      <c r="H21" s="38" t="s">
        <v>1</v>
      </c>
      <c r="I21" s="39"/>
      <c r="J21" s="40" t="s">
        <v>1</v>
      </c>
    </row>
    <row r="22" ht="34" customHeight="1" spans="1:10" x14ac:dyDescent="0.25">
      <c r="A22" s="33" t="s">
        <v>1896</v>
      </c>
      <c r="B22" s="34" t="s">
        <v>47</v>
      </c>
      <c r="C22" s="35" t="s">
        <v>1897</v>
      </c>
      <c r="D22" s="36" t="s">
        <v>1898</v>
      </c>
      <c r="E22" s="34" t="s">
        <v>1899</v>
      </c>
      <c r="F22" s="37" t="s">
        <v>1900</v>
      </c>
      <c r="G22" s="38" t="s">
        <v>20</v>
      </c>
      <c r="H22" s="38" t="s">
        <v>1</v>
      </c>
      <c r="I22" s="39"/>
      <c r="J22" s="40" t="s">
        <v>1</v>
      </c>
    </row>
    <row r="23" ht="20" customHeight="1" spans="1:10" x14ac:dyDescent="0.25">
      <c r="A23" s="33" t="s">
        <v>1901</v>
      </c>
      <c r="B23" s="34" t="s">
        <v>47</v>
      </c>
      <c r="C23" s="35" t="s">
        <v>1902</v>
      </c>
      <c r="D23" s="36" t="s">
        <v>1903</v>
      </c>
      <c r="E23" s="34" t="s">
        <v>295</v>
      </c>
      <c r="F23" s="37" t="s">
        <v>1904</v>
      </c>
      <c r="G23" s="38" t="s">
        <v>20</v>
      </c>
      <c r="H23" s="38" t="s">
        <v>1</v>
      </c>
      <c r="I23" s="39"/>
      <c r="J23" s="40" t="s">
        <v>1</v>
      </c>
    </row>
    <row r="24" spans="7:10" x14ac:dyDescent="0.25">
      <c r="G24" s="44"/>
      <c r="H24" s="44"/>
      <c r="I24" s="45"/>
      <c r="J24" s="44"/>
    </row>
    <row r="25" spans="7:10" x14ac:dyDescent="0.25">
      <c r="G25" s="44"/>
      <c r="H25" s="44"/>
      <c r="I25" s="45"/>
      <c r="J25" s="44"/>
    </row>
    <row r="26" spans="7:10" x14ac:dyDescent="0.25">
      <c r="G26" s="44"/>
      <c r="H26" s="44"/>
      <c r="I26" s="45"/>
      <c r="J26" s="44"/>
    </row>
    <row r="27" spans="7:10" x14ac:dyDescent="0.25">
      <c r="G27" s="44"/>
      <c r="H27" s="44"/>
      <c r="I27" s="45"/>
      <c r="J27" s="44"/>
    </row>
    <row r="28" spans="7:10" x14ac:dyDescent="0.25">
      <c r="G28" s="44"/>
      <c r="H28" s="44"/>
      <c r="I28" s="45"/>
      <c r="J28" s="44"/>
    </row>
    <row r="29" spans="7:10" x14ac:dyDescent="0.25">
      <c r="G29" s="44"/>
      <c r="H29" s="44"/>
      <c r="I29" s="45"/>
      <c r="J29" s="44"/>
    </row>
    <row r="30" spans="7:10" x14ac:dyDescent="0.25">
      <c r="G30" s="44"/>
      <c r="H30" s="44"/>
      <c r="I30" s="45"/>
      <c r="J30" s="44"/>
    </row>
    <row r="31" spans="7:10" x14ac:dyDescent="0.25">
      <c r="G31" s="44"/>
      <c r="H31" s="44"/>
      <c r="I31" s="45"/>
      <c r="J31" s="44"/>
    </row>
    <row r="32" spans="7:10" x14ac:dyDescent="0.25">
      <c r="G32" s="44"/>
      <c r="H32" s="44"/>
      <c r="I32" s="45"/>
      <c r="J32" s="44"/>
    </row>
    <row r="33" spans="7:10" x14ac:dyDescent="0.25">
      <c r="G33" s="44"/>
      <c r="H33" s="44"/>
      <c r="I33" s="45"/>
      <c r="J33" s="44"/>
    </row>
    <row r="34" spans="7:10" x14ac:dyDescent="0.25">
      <c r="G34" s="44"/>
      <c r="H34" s="44"/>
      <c r="I34" s="45"/>
      <c r="J34" s="44"/>
    </row>
    <row r="35" spans="7:10" x14ac:dyDescent="0.25">
      <c r="G35" s="44"/>
      <c r="H35" s="44"/>
      <c r="I35" s="45"/>
      <c r="J35" s="44"/>
    </row>
    <row r="36" spans="7:10" x14ac:dyDescent="0.25">
      <c r="G36" s="44"/>
      <c r="H36" s="44"/>
      <c r="I36" s="45"/>
      <c r="J36" s="44"/>
    </row>
    <row r="37" spans="7:10" x14ac:dyDescent="0.25">
      <c r="G37" s="44"/>
      <c r="H37" s="44"/>
      <c r="I37" s="45"/>
      <c r="J37" s="44"/>
    </row>
    <row r="38" spans="7:10" x14ac:dyDescent="0.25">
      <c r="G38" s="44"/>
      <c r="H38" s="44"/>
      <c r="I38" s="45"/>
      <c r="J38" s="44"/>
    </row>
  </sheetData>
  <autoFilter ref="A8:J23"/>
  <mergeCells count="6">
    <mergeCell ref="A1:I1"/>
    <mergeCell ref="B2:J2"/>
    <mergeCell ref="B3:J3"/>
    <mergeCell ref="B4:J4"/>
    <mergeCell ref="B5:J5"/>
    <mergeCell ref="A7:J7"/>
  </mergeCells>
  <conditionalFormatting sqref="J6">
    <cfRule type="cellIs" dxfId="314" priority="1" operator="equal">
      <formula>"Done"</formula>
    </cfRule>
    <cfRule type="cellIs" dxfId="315" priority="2" operator="equal">
      <formula>"Complete"</formula>
    </cfRule>
    <cfRule type="cellIs" dxfId="316" priority="3" operator="equal">
      <formula>"In progress"</formula>
    </cfRule>
    <cfRule type="cellIs" dxfId="317" priority="4" operator="equal">
      <formula>"Blocked"</formula>
    </cfRule>
    <cfRule type="cellIs" dxfId="318" priority="5" operator="equal">
      <formula>"N/A"</formula>
    </cfRule>
    <cfRule type="cellIs" dxfId="319" priority="6" operator="equal">
      <formula>"Decided"</formula>
    </cfRule>
    <cfRule type="cellIs" dxfId="320" priority="7" operator="equal">
      <formula>"Open"</formula>
    </cfRule>
  </conditionalFormatting>
  <conditionalFormatting sqref="A7">
    <cfRule type="containsText" dxfId="321" priority="8">
      <formula>NOT(ISERROR(SEARCH("LOCKED",A7)))</formula>
    </cfRule>
    <cfRule type="containsText" dxfId="322" priority="9">
      <formula>NOT(ISERROR(SEARCH("READY",A7)))</formula>
    </cfRule>
  </conditionalFormatting>
  <conditionalFormatting sqref="G9:G400">
    <cfRule type="cellIs" dxfId="323" priority="10" operator="equal">
      <formula>"Done"</formula>
    </cfRule>
    <cfRule type="cellIs" dxfId="324" priority="11" operator="equal">
      <formula>"Complete"</formula>
    </cfRule>
    <cfRule type="cellIs" dxfId="325" priority="12" operator="equal">
      <formula>"In progress"</formula>
    </cfRule>
    <cfRule type="cellIs" dxfId="326" priority="13" operator="equal">
      <formula>"Blocked"</formula>
    </cfRule>
    <cfRule type="cellIs" dxfId="327" priority="14" operator="equal">
      <formula>"N/A"</formula>
    </cfRule>
    <cfRule type="cellIs" dxfId="328" priority="15" operator="equal">
      <formula>"Decided"</formula>
    </cfRule>
    <cfRule type="cellIs" dxfId="329" priority="16" operator="equal">
      <formula>"Open"</formula>
    </cfRule>
  </conditionalFormatting>
  <dataValidations count="4">
    <dataValidation type="list" allowBlank="1" showErrorMessage="1" errorTitle="Status" error="Choose a value from the list." sqref="G10:G38">
      <formula1>"Not started,In progress,Blocked,Done,N/A"</formula1>
    </dataValidation>
    <dataValidation type="list" allowBlank="1" showErrorMessage="1" errorTitle="Status" error="Choose a value from the list." sqref="G9:G38">
      <formula1>"Not started,In progress,Blocked,Done,N/A"</formula1>
    </dataValidation>
    <dataValidation type="date" operator="greaterThan" allowBlank="1" showErrorMessage="1" errorTitle="Date done" error="Enter a date (yyyy-mm-dd)." sqref="I10:I38">
      <formula1>46023</formula1>
    </dataValidation>
    <dataValidation type="date" operator="greaterThan" allowBlank="1" showErrorMessage="1" errorTitle="Date done" error="Enter a date (yyyy-mm-dd)." sqref="I9:I38">
      <formula1>46023</formula1>
    </dataValidation>
  </dataValidations>
  <hyperlinks>
    <hyperlink ref="J1" r:id="rId1" location="#'Dashboard'!A1"/>
  </hyperlinks>
  <pageSetup paperSize="9" orientation="landscape" fitToWidth="1" fitToHeight="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9A1A"/>
  </sheetPr>
  <dimension ref="A1:I34"/>
  <sheetViews>
    <sheetView workbookViewId="0">
      <pane ySplit="4" topLeftCell="A5" activePane="bottomLeft" state="frozen"/>
      <selection pane="bottomLeft"/>
    </sheetView>
  </sheetViews>
  <sheetFormatPr defaultRowHeight="15" outlineLevelRow="0" outlineLevelCol="0" x14ac:dyDescent="55"/>
  <cols>
    <col min="1" max="1" width="8" customWidth="1"/>
    <col min="2" max="2" width="58" customWidth="1"/>
    <col min="3" max="3" width="28" customWidth="1"/>
    <col min="4" max="4" width="16" customWidth="1"/>
    <col min="5" max="5" width="38" customWidth="1"/>
    <col min="6" max="6" width="11" customWidth="1"/>
    <col min="7" max="7" width="13" customWidth="1"/>
    <col min="8" max="8" width="34" customWidth="1"/>
    <col min="9" max="9" width="12" customWidth="1"/>
  </cols>
  <sheetData>
    <row r="1" ht="26" customHeight="1" spans="1:9" x14ac:dyDescent="0.25">
      <c r="A1" s="27" t="s">
        <v>1905</v>
      </c>
      <c r="B1" s="27"/>
      <c r="C1" s="27"/>
      <c r="D1" s="27"/>
      <c r="E1" s="27"/>
      <c r="F1" s="27"/>
      <c r="G1" s="27"/>
      <c r="H1" s="27"/>
      <c r="I1" s="27"/>
    </row>
    <row r="2" ht="30" customHeight="1" spans="1:9" x14ac:dyDescent="0.25">
      <c r="A2" s="3" t="s">
        <v>1906</v>
      </c>
      <c r="B2" s="3"/>
      <c r="C2" s="3"/>
      <c r="D2" s="3"/>
      <c r="E2" s="3"/>
      <c r="F2" s="3"/>
      <c r="G2" s="3"/>
      <c r="H2" s="3"/>
      <c r="I2" s="3"/>
    </row>
    <row r="4" spans="1:9" x14ac:dyDescent="0.25">
      <c r="A4" s="19" t="s">
        <v>87</v>
      </c>
      <c r="B4" s="19" t="s">
        <v>1907</v>
      </c>
      <c r="C4" s="19" t="s">
        <v>1908</v>
      </c>
      <c r="D4" s="19" t="s">
        <v>1909</v>
      </c>
      <c r="E4" s="19" t="s">
        <v>1910</v>
      </c>
      <c r="F4" s="19" t="s">
        <v>217</v>
      </c>
      <c r="G4" s="19" t="s">
        <v>218</v>
      </c>
      <c r="H4" s="19" t="s">
        <v>1911</v>
      </c>
      <c r="I4" s="19" t="s">
        <v>1912</v>
      </c>
    </row>
    <row r="5" ht="44" customHeight="1" spans="1:9" x14ac:dyDescent="0.25">
      <c r="A5" s="21" t="s">
        <v>1913</v>
      </c>
      <c r="B5" s="24" t="s">
        <v>1914</v>
      </c>
      <c r="C5" s="43" t="s">
        <v>1915</v>
      </c>
      <c r="D5" s="24" t="s">
        <v>105</v>
      </c>
      <c r="E5" s="24" t="s">
        <v>1916</v>
      </c>
      <c r="F5" s="38" t="s">
        <v>1917</v>
      </c>
      <c r="G5" s="38" t="s">
        <v>1</v>
      </c>
      <c r="H5" s="40" t="s">
        <v>1</v>
      </c>
      <c r="I5" s="39"/>
    </row>
    <row r="6" ht="44" customHeight="1" spans="1:9" x14ac:dyDescent="0.25">
      <c r="A6" s="21" t="s">
        <v>1918</v>
      </c>
      <c r="B6" s="24" t="s">
        <v>1919</v>
      </c>
      <c r="C6" s="43" t="s">
        <v>1920</v>
      </c>
      <c r="D6" s="24" t="s">
        <v>105</v>
      </c>
      <c r="E6" s="24" t="s">
        <v>1921</v>
      </c>
      <c r="F6" s="38" t="s">
        <v>1917</v>
      </c>
      <c r="G6" s="38" t="s">
        <v>1</v>
      </c>
      <c r="H6" s="40" t="s">
        <v>1</v>
      </c>
      <c r="I6" s="39"/>
    </row>
    <row r="7" ht="31" customHeight="1" spans="1:9" x14ac:dyDescent="0.25">
      <c r="A7" s="21" t="s">
        <v>1922</v>
      </c>
      <c r="B7" s="24" t="s">
        <v>1923</v>
      </c>
      <c r="C7" s="43" t="s">
        <v>1924</v>
      </c>
      <c r="D7" s="24" t="s">
        <v>105</v>
      </c>
      <c r="E7" s="24" t="s">
        <v>1</v>
      </c>
      <c r="F7" s="38" t="s">
        <v>1917</v>
      </c>
      <c r="G7" s="38" t="s">
        <v>1</v>
      </c>
      <c r="H7" s="40" t="s">
        <v>1</v>
      </c>
      <c r="I7" s="39"/>
    </row>
    <row r="8" ht="31" customHeight="1" spans="1:9" x14ac:dyDescent="0.25">
      <c r="A8" s="21" t="s">
        <v>1925</v>
      </c>
      <c r="B8" s="24" t="s">
        <v>1926</v>
      </c>
      <c r="C8" s="43" t="s">
        <v>1927</v>
      </c>
      <c r="D8" s="24" t="s">
        <v>105</v>
      </c>
      <c r="E8" s="24" t="s">
        <v>1</v>
      </c>
      <c r="F8" s="38" t="s">
        <v>1917</v>
      </c>
      <c r="G8" s="38" t="s">
        <v>1</v>
      </c>
      <c r="H8" s="40" t="s">
        <v>1</v>
      </c>
      <c r="I8" s="39"/>
    </row>
    <row r="9" ht="31" customHeight="1" spans="1:9" x14ac:dyDescent="0.25">
      <c r="A9" s="21" t="s">
        <v>1928</v>
      </c>
      <c r="B9" s="24" t="s">
        <v>1929</v>
      </c>
      <c r="C9" s="43" t="s">
        <v>1930</v>
      </c>
      <c r="D9" s="24" t="s">
        <v>105</v>
      </c>
      <c r="E9" s="24" t="s">
        <v>1931</v>
      </c>
      <c r="F9" s="38" t="s">
        <v>1917</v>
      </c>
      <c r="G9" s="38" t="s">
        <v>1</v>
      </c>
      <c r="H9" s="40" t="s">
        <v>1</v>
      </c>
      <c r="I9" s="39"/>
    </row>
    <row r="10" ht="31" customHeight="1" spans="1:9" x14ac:dyDescent="0.25">
      <c r="A10" s="21" t="s">
        <v>1932</v>
      </c>
      <c r="B10" s="24" t="s">
        <v>1933</v>
      </c>
      <c r="C10" s="43" t="s">
        <v>1934</v>
      </c>
      <c r="D10" s="24" t="s">
        <v>1935</v>
      </c>
      <c r="E10" s="24" t="s">
        <v>1</v>
      </c>
      <c r="F10" s="38" t="s">
        <v>1917</v>
      </c>
      <c r="G10" s="38" t="s">
        <v>1</v>
      </c>
      <c r="H10" s="40" t="s">
        <v>1</v>
      </c>
      <c r="I10" s="39"/>
    </row>
    <row r="11" ht="31" customHeight="1" spans="1:9" x14ac:dyDescent="0.25">
      <c r="A11" s="21" t="s">
        <v>1936</v>
      </c>
      <c r="B11" s="24" t="s">
        <v>1937</v>
      </c>
      <c r="C11" s="43" t="s">
        <v>1938</v>
      </c>
      <c r="D11" s="24" t="s">
        <v>105</v>
      </c>
      <c r="E11" s="24" t="s">
        <v>1</v>
      </c>
      <c r="F11" s="38" t="s">
        <v>1917</v>
      </c>
      <c r="G11" s="38" t="s">
        <v>1</v>
      </c>
      <c r="H11" s="40" t="s">
        <v>1</v>
      </c>
      <c r="I11" s="39"/>
    </row>
    <row r="12" ht="31" customHeight="1" spans="1:9" x14ac:dyDescent="0.25">
      <c r="A12" s="21" t="s">
        <v>1939</v>
      </c>
      <c r="B12" s="24" t="s">
        <v>1940</v>
      </c>
      <c r="C12" s="43" t="s">
        <v>1941</v>
      </c>
      <c r="D12" s="24" t="s">
        <v>105</v>
      </c>
      <c r="E12" s="24" t="s">
        <v>1</v>
      </c>
      <c r="F12" s="38" t="s">
        <v>1917</v>
      </c>
      <c r="G12" s="38" t="s">
        <v>1</v>
      </c>
      <c r="H12" s="40" t="s">
        <v>1</v>
      </c>
      <c r="I12" s="39"/>
    </row>
    <row r="13" ht="31" customHeight="1" spans="1:9" x14ac:dyDescent="0.25">
      <c r="A13" s="21" t="s">
        <v>1942</v>
      </c>
      <c r="B13" s="24" t="s">
        <v>1943</v>
      </c>
      <c r="C13" s="43" t="s">
        <v>1944</v>
      </c>
      <c r="D13" s="24" t="s">
        <v>120</v>
      </c>
      <c r="E13" s="24" t="s">
        <v>1945</v>
      </c>
      <c r="F13" s="38" t="s">
        <v>1917</v>
      </c>
      <c r="G13" s="38" t="s">
        <v>1</v>
      </c>
      <c r="H13" s="40" t="s">
        <v>1</v>
      </c>
      <c r="I13" s="39"/>
    </row>
    <row r="14" ht="18" customHeight="1" spans="1:9" x14ac:dyDescent="0.25">
      <c r="A14" s="21" t="s">
        <v>1946</v>
      </c>
      <c r="B14" s="24" t="s">
        <v>1947</v>
      </c>
      <c r="C14" s="43" t="s">
        <v>1948</v>
      </c>
      <c r="D14" s="24" t="s">
        <v>105</v>
      </c>
      <c r="E14" s="24" t="s">
        <v>1</v>
      </c>
      <c r="F14" s="38" t="s">
        <v>1917</v>
      </c>
      <c r="G14" s="38" t="s">
        <v>1</v>
      </c>
      <c r="H14" s="40" t="s">
        <v>1</v>
      </c>
      <c r="I14" s="39"/>
    </row>
    <row r="15" ht="31" customHeight="1" spans="1:9" x14ac:dyDescent="0.25">
      <c r="A15" s="21" t="s">
        <v>1949</v>
      </c>
      <c r="B15" s="24" t="s">
        <v>1950</v>
      </c>
      <c r="C15" s="43" t="s">
        <v>1951</v>
      </c>
      <c r="D15" s="24" t="s">
        <v>105</v>
      </c>
      <c r="E15" s="24" t="s">
        <v>1</v>
      </c>
      <c r="F15" s="38" t="s">
        <v>1917</v>
      </c>
      <c r="G15" s="38" t="s">
        <v>1</v>
      </c>
      <c r="H15" s="40" t="s">
        <v>1</v>
      </c>
      <c r="I15" s="39"/>
    </row>
    <row r="16" ht="31" customHeight="1" spans="1:9" x14ac:dyDescent="0.25">
      <c r="A16" s="21" t="s">
        <v>1952</v>
      </c>
      <c r="B16" s="24" t="s">
        <v>1953</v>
      </c>
      <c r="C16" s="43" t="s">
        <v>1954</v>
      </c>
      <c r="D16" s="24" t="s">
        <v>110</v>
      </c>
      <c r="E16" s="24" t="s">
        <v>1</v>
      </c>
      <c r="F16" s="38" t="s">
        <v>1917</v>
      </c>
      <c r="G16" s="38" t="s">
        <v>1</v>
      </c>
      <c r="H16" s="40" t="s">
        <v>1</v>
      </c>
      <c r="I16" s="39"/>
    </row>
    <row r="17" ht="31" customHeight="1" spans="1:9" x14ac:dyDescent="0.25">
      <c r="A17" s="21" t="s">
        <v>1955</v>
      </c>
      <c r="B17" s="24" t="s">
        <v>1956</v>
      </c>
      <c r="C17" s="43" t="s">
        <v>1954</v>
      </c>
      <c r="D17" s="24" t="s">
        <v>1957</v>
      </c>
      <c r="E17" s="24" t="s">
        <v>1</v>
      </c>
      <c r="F17" s="38" t="s">
        <v>1917</v>
      </c>
      <c r="G17" s="38" t="s">
        <v>1</v>
      </c>
      <c r="H17" s="40" t="s">
        <v>1</v>
      </c>
      <c r="I17" s="39"/>
    </row>
    <row r="18" ht="31" customHeight="1" spans="1:9" x14ac:dyDescent="0.25">
      <c r="A18" s="21" t="s">
        <v>498</v>
      </c>
      <c r="B18" s="24" t="s">
        <v>1958</v>
      </c>
      <c r="C18" s="43" t="s">
        <v>1959</v>
      </c>
      <c r="D18" s="24" t="s">
        <v>110</v>
      </c>
      <c r="E18" s="24" t="s">
        <v>1</v>
      </c>
      <c r="F18" s="38" t="s">
        <v>1917</v>
      </c>
      <c r="G18" s="38" t="s">
        <v>1</v>
      </c>
      <c r="H18" s="40" t="s">
        <v>1</v>
      </c>
      <c r="I18" s="39"/>
    </row>
    <row r="19" ht="31" customHeight="1" spans="1:9" x14ac:dyDescent="0.25">
      <c r="A19" s="21" t="s">
        <v>1960</v>
      </c>
      <c r="B19" s="24" t="s">
        <v>1961</v>
      </c>
      <c r="C19" s="43" t="s">
        <v>1962</v>
      </c>
      <c r="D19" s="24" t="s">
        <v>1963</v>
      </c>
      <c r="E19" s="24" t="s">
        <v>1964</v>
      </c>
      <c r="F19" s="38" t="s">
        <v>1917</v>
      </c>
      <c r="G19" s="38" t="s">
        <v>1</v>
      </c>
      <c r="H19" s="40" t="s">
        <v>1</v>
      </c>
      <c r="I19" s="39"/>
    </row>
    <row r="20" ht="57" customHeight="1" spans="1:9" x14ac:dyDescent="0.25">
      <c r="A20" s="21" t="s">
        <v>618</v>
      </c>
      <c r="B20" s="24" t="s">
        <v>1965</v>
      </c>
      <c r="C20" s="43" t="s">
        <v>1966</v>
      </c>
      <c r="D20" s="24" t="s">
        <v>1967</v>
      </c>
      <c r="E20" s="24" t="s">
        <v>1968</v>
      </c>
      <c r="F20" s="38" t="s">
        <v>1917</v>
      </c>
      <c r="G20" s="38" t="s">
        <v>1</v>
      </c>
      <c r="H20" s="40" t="s">
        <v>1</v>
      </c>
      <c r="I20" s="39"/>
    </row>
    <row r="21" ht="44" customHeight="1" spans="1:9" x14ac:dyDescent="0.25">
      <c r="A21" s="21" t="s">
        <v>1969</v>
      </c>
      <c r="B21" s="24" t="s">
        <v>1970</v>
      </c>
      <c r="C21" s="43" t="s">
        <v>1971</v>
      </c>
      <c r="D21" s="24" t="s">
        <v>1972</v>
      </c>
      <c r="E21" s="24" t="s">
        <v>1</v>
      </c>
      <c r="F21" s="38" t="s">
        <v>1917</v>
      </c>
      <c r="G21" s="38" t="s">
        <v>1</v>
      </c>
      <c r="H21" s="40" t="s">
        <v>1</v>
      </c>
      <c r="I21" s="39"/>
    </row>
    <row r="22" ht="31" customHeight="1" spans="1:9" x14ac:dyDescent="0.25">
      <c r="A22" s="21" t="s">
        <v>1973</v>
      </c>
      <c r="B22" s="24" t="s">
        <v>1974</v>
      </c>
      <c r="C22" s="43" t="s">
        <v>1975</v>
      </c>
      <c r="D22" s="24" t="s">
        <v>105</v>
      </c>
      <c r="E22" s="24" t="s">
        <v>1976</v>
      </c>
      <c r="F22" s="38" t="s">
        <v>1917</v>
      </c>
      <c r="G22" s="38" t="s">
        <v>1</v>
      </c>
      <c r="H22" s="40" t="s">
        <v>1</v>
      </c>
      <c r="I22" s="39"/>
    </row>
    <row r="23" ht="31" customHeight="1" spans="1:9" x14ac:dyDescent="0.25">
      <c r="A23" s="21" t="s">
        <v>1977</v>
      </c>
      <c r="B23" s="24" t="s">
        <v>1978</v>
      </c>
      <c r="C23" s="43" t="s">
        <v>1979</v>
      </c>
      <c r="D23" s="24" t="s">
        <v>130</v>
      </c>
      <c r="E23" s="24" t="s">
        <v>1</v>
      </c>
      <c r="F23" s="38" t="s">
        <v>1917</v>
      </c>
      <c r="G23" s="38" t="s">
        <v>1</v>
      </c>
      <c r="H23" s="40" t="s">
        <v>1</v>
      </c>
      <c r="I23" s="39"/>
    </row>
    <row r="24" ht="44" customHeight="1" spans="1:9" x14ac:dyDescent="0.25">
      <c r="A24" s="21" t="s">
        <v>1980</v>
      </c>
      <c r="B24" s="24" t="s">
        <v>1981</v>
      </c>
      <c r="C24" s="43" t="s">
        <v>1982</v>
      </c>
      <c r="D24" s="24" t="s">
        <v>140</v>
      </c>
      <c r="E24" s="24" t="s">
        <v>1</v>
      </c>
      <c r="F24" s="38" t="s">
        <v>1917</v>
      </c>
      <c r="G24" s="38" t="s">
        <v>1</v>
      </c>
      <c r="H24" s="40" t="s">
        <v>1</v>
      </c>
      <c r="I24" s="39"/>
    </row>
    <row r="25" ht="31" customHeight="1" spans="1:9" x14ac:dyDescent="0.25">
      <c r="A25" s="21" t="s">
        <v>1983</v>
      </c>
      <c r="B25" s="24" t="s">
        <v>1984</v>
      </c>
      <c r="C25" s="43" t="s">
        <v>1985</v>
      </c>
      <c r="D25" s="24" t="s">
        <v>165</v>
      </c>
      <c r="E25" s="24" t="s">
        <v>1</v>
      </c>
      <c r="F25" s="38" t="s">
        <v>1917</v>
      </c>
      <c r="G25" s="38" t="s">
        <v>1</v>
      </c>
      <c r="H25" s="40" t="s">
        <v>1</v>
      </c>
      <c r="I25" s="39"/>
    </row>
    <row r="26" ht="31" customHeight="1" spans="1:9" x14ac:dyDescent="0.25">
      <c r="A26" s="21" t="s">
        <v>1986</v>
      </c>
      <c r="B26" s="24" t="s">
        <v>1987</v>
      </c>
      <c r="C26" s="43" t="s">
        <v>1988</v>
      </c>
      <c r="D26" s="24" t="s">
        <v>1989</v>
      </c>
      <c r="E26" s="24" t="s">
        <v>1990</v>
      </c>
      <c r="F26" s="38" t="s">
        <v>1917</v>
      </c>
      <c r="G26" s="38" t="s">
        <v>1</v>
      </c>
      <c r="H26" s="40" t="s">
        <v>1</v>
      </c>
      <c r="I26" s="39"/>
    </row>
    <row r="27" ht="18" customHeight="1" spans="1:9" x14ac:dyDescent="0.25">
      <c r="A27" s="21" t="s">
        <v>1991</v>
      </c>
      <c r="B27" s="24" t="s">
        <v>1992</v>
      </c>
      <c r="C27" s="43" t="s">
        <v>1993</v>
      </c>
      <c r="D27" s="24" t="s">
        <v>150</v>
      </c>
      <c r="E27" s="24" t="s">
        <v>1</v>
      </c>
      <c r="F27" s="38" t="s">
        <v>1917</v>
      </c>
      <c r="G27" s="38" t="s">
        <v>1</v>
      </c>
      <c r="H27" s="40" t="s">
        <v>1</v>
      </c>
      <c r="I27" s="39"/>
    </row>
    <row r="28" ht="18" customHeight="1" spans="1:9" x14ac:dyDescent="0.25">
      <c r="A28" s="21" t="s">
        <v>1994</v>
      </c>
      <c r="B28" s="24" t="s">
        <v>1995</v>
      </c>
      <c r="C28" s="43" t="s">
        <v>1996</v>
      </c>
      <c r="D28" s="24" t="s">
        <v>1997</v>
      </c>
      <c r="E28" s="24" t="s">
        <v>1998</v>
      </c>
      <c r="F28" s="38" t="s">
        <v>1917</v>
      </c>
      <c r="G28" s="38" t="s">
        <v>1</v>
      </c>
      <c r="H28" s="40" t="s">
        <v>1</v>
      </c>
      <c r="I28" s="39"/>
    </row>
    <row r="29" ht="31" customHeight="1" spans="1:9" x14ac:dyDescent="0.25">
      <c r="A29" s="21" t="s">
        <v>1999</v>
      </c>
      <c r="B29" s="24" t="s">
        <v>2000</v>
      </c>
      <c r="C29" s="43" t="s">
        <v>2001</v>
      </c>
      <c r="D29" s="24" t="s">
        <v>185</v>
      </c>
      <c r="E29" s="24" t="s">
        <v>1</v>
      </c>
      <c r="F29" s="38" t="s">
        <v>1917</v>
      </c>
      <c r="G29" s="38" t="s">
        <v>1</v>
      </c>
      <c r="H29" s="40" t="s">
        <v>1</v>
      </c>
      <c r="I29" s="39"/>
    </row>
    <row r="30" ht="31" customHeight="1" spans="1:9" x14ac:dyDescent="0.25">
      <c r="A30" s="21" t="s">
        <v>2002</v>
      </c>
      <c r="B30" s="24" t="s">
        <v>2003</v>
      </c>
      <c r="C30" s="43" t="s">
        <v>2004</v>
      </c>
      <c r="D30" s="24" t="s">
        <v>2005</v>
      </c>
      <c r="E30" s="24" t="s">
        <v>2006</v>
      </c>
      <c r="F30" s="38" t="s">
        <v>1917</v>
      </c>
      <c r="G30" s="38" t="s">
        <v>1</v>
      </c>
      <c r="H30" s="40" t="s">
        <v>1</v>
      </c>
      <c r="I30" s="39"/>
    </row>
    <row r="31" ht="31" customHeight="1" spans="1:9" x14ac:dyDescent="0.25">
      <c r="A31" s="21" t="s">
        <v>1847</v>
      </c>
      <c r="B31" s="24" t="s">
        <v>2007</v>
      </c>
      <c r="C31" s="43" t="s">
        <v>2008</v>
      </c>
      <c r="D31" s="24" t="s">
        <v>195</v>
      </c>
      <c r="E31" s="24" t="s">
        <v>1</v>
      </c>
      <c r="F31" s="38" t="s">
        <v>1917</v>
      </c>
      <c r="G31" s="38" t="s">
        <v>1</v>
      </c>
      <c r="H31" s="40" t="s">
        <v>1</v>
      </c>
      <c r="I31" s="39"/>
    </row>
    <row r="32" ht="31" customHeight="1" spans="1:9" x14ac:dyDescent="0.25">
      <c r="A32" s="21" t="s">
        <v>2009</v>
      </c>
      <c r="B32" s="24" t="s">
        <v>2010</v>
      </c>
      <c r="C32" s="43" t="s">
        <v>2011</v>
      </c>
      <c r="D32" s="24" t="s">
        <v>105</v>
      </c>
      <c r="E32" s="24" t="s">
        <v>1</v>
      </c>
      <c r="F32" s="38" t="s">
        <v>1917</v>
      </c>
      <c r="G32" s="38" t="s">
        <v>1</v>
      </c>
      <c r="H32" s="40" t="s">
        <v>1</v>
      </c>
      <c r="I32" s="39"/>
    </row>
    <row r="33" ht="18" customHeight="1" spans="1:9" x14ac:dyDescent="0.25">
      <c r="A33" s="21" t="s">
        <v>2012</v>
      </c>
      <c r="B33" s="24" t="s">
        <v>2013</v>
      </c>
      <c r="C33" s="43" t="s">
        <v>2014</v>
      </c>
      <c r="D33" s="24" t="s">
        <v>2015</v>
      </c>
      <c r="E33" s="24" t="s">
        <v>1</v>
      </c>
      <c r="F33" s="38" t="s">
        <v>1917</v>
      </c>
      <c r="G33" s="38" t="s">
        <v>1</v>
      </c>
      <c r="H33" s="40" t="s">
        <v>1</v>
      </c>
      <c r="I33" s="39"/>
    </row>
    <row r="34" ht="18" customHeight="1" spans="1:9" x14ac:dyDescent="0.25">
      <c r="A34" s="21" t="s">
        <v>2016</v>
      </c>
      <c r="B34" s="24" t="s">
        <v>2017</v>
      </c>
      <c r="C34" s="43" t="s">
        <v>903</v>
      </c>
      <c r="D34" s="24" t="s">
        <v>130</v>
      </c>
      <c r="E34" s="24" t="s">
        <v>1</v>
      </c>
      <c r="F34" s="38" t="s">
        <v>1917</v>
      </c>
      <c r="G34" s="38" t="s">
        <v>1</v>
      </c>
      <c r="H34" s="40" t="s">
        <v>1</v>
      </c>
      <c r="I34" s="39"/>
    </row>
  </sheetData>
  <autoFilter ref="A4:I34"/>
  <mergeCells count="2">
    <mergeCell ref="A1:I1"/>
    <mergeCell ref="A2:I2"/>
  </mergeCells>
  <conditionalFormatting sqref="F5:F34">
    <cfRule type="cellIs" dxfId="330" priority="1" operator="equal">
      <formula>"Done"</formula>
    </cfRule>
    <cfRule type="cellIs" dxfId="331" priority="2" operator="equal">
      <formula>"Complete"</formula>
    </cfRule>
    <cfRule type="cellIs" dxfId="332" priority="3" operator="equal">
      <formula>"In progress"</formula>
    </cfRule>
    <cfRule type="cellIs" dxfId="333" priority="4" operator="equal">
      <formula>"Blocked"</formula>
    </cfRule>
    <cfRule type="cellIs" dxfId="334" priority="5" operator="equal">
      <formula>"N/A"</formula>
    </cfRule>
    <cfRule type="cellIs" dxfId="335" priority="6" operator="equal">
      <formula>"Decided"</formula>
    </cfRule>
    <cfRule type="cellIs" dxfId="336" priority="7" operator="equal">
      <formula>"Open"</formula>
    </cfRule>
  </conditionalFormatting>
  <dataValidations count="2">
    <dataValidation type="list" sqref="F10:F34">
      <formula1>"Open,Decided"</formula1>
    </dataValidation>
    <dataValidation type="list" sqref="F5:F34">
      <formula1>"Open,Decided"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Start Here</vt:lpstr>
      <vt:lpstr>Dashboard</vt:lpstr>
      <vt:lpstr>M01 Database</vt:lpstr>
      <vt:lpstr>M02 Platform</vt:lpstr>
      <vt:lpstr>M03 Access</vt:lpstr>
      <vt:lpstr>M04 Programme</vt:lpstr>
      <vt:lpstr>M05 Reference</vt:lpstr>
      <vt:lpstr>M06 Cohort</vt:lpstr>
      <vt:lpstr>M07 Enrolment</vt:lpstr>
      <vt:lpstr>M08 Assessment</vt:lpstr>
      <vt:lpstr>M09 Care Plan</vt:lpstr>
      <vt:lpstr>M10 Care Work</vt:lpstr>
      <vt:lpstr>M11 Referral</vt:lpstr>
      <vt:lpstr>M12 Medication</vt:lpstr>
      <vt:lpstr>M13 Observation</vt:lpstr>
      <vt:lpstr>M14 Care Gaps</vt:lpstr>
      <vt:lpstr>M15 Engagement</vt:lpstr>
      <vt:lpstr>M16 Outcomes</vt:lpstr>
      <vt:lpstr>M17 Audit</vt:lpstr>
      <vt:lpstr>M18 Integration</vt:lpstr>
      <vt:lpstr>M19 AI</vt:lpstr>
      <vt:lpstr>M20 Acceptance</vt:lpstr>
      <vt:lpstr>Open Decisions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ZIMASA Engineering</dc:creator>
  <dc:title>ZCare Development Checklist</dc:title>
  <dc:subject/>
  <dc:description/>
  <cp:keywords/>
  <cp:category/>
  <cp:lastModifiedBy>Unknown</cp:lastModifiedBy>
  <dcterms:created xsi:type="dcterms:W3CDTF">2026-09-30T12:00:00Z</dcterms:created>
  <dcterms:modified xsi:type="dcterms:W3CDTF">2026-09-30T23:47:33Z</dcterms:modified>
</cp:coreProperties>
</file>